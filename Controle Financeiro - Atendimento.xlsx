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" sheetId="1" r:id="rId5"/>
    <sheet state="visible" name="FORNECEDOR" sheetId="2" r:id="rId6"/>
    <sheet state="visible" name="NOTA_FISCAL" sheetId="3" r:id="rId7"/>
    <sheet state="visible" name="NOTA_FISCAL_ANALITICO" sheetId="4" r:id="rId8"/>
    <sheet state="visible" name="PRESTADOR" sheetId="5" r:id="rId9"/>
    <sheet state="visible" name="FORECAST" sheetId="6" r:id="rId10"/>
    <sheet state="visible" name="HISTOGRAMA" sheetId="7" r:id="rId11"/>
    <sheet state="hidden" name="ORÇAMENTO 2026 v1" sheetId="8" r:id="rId12"/>
    <sheet state="hidden" name="ORÇAMENTO 2026 v2" sheetId="9" r:id="rId13"/>
    <sheet state="visible" name="RATE_CARD" sheetId="10" r:id="rId14"/>
    <sheet state="visible" name="SIMULADO DESMOBILIZAÇAO" sheetId="11" r:id="rId15"/>
    <sheet state="visible" name="ORÇAMENTO 2026 v3" sheetId="12" r:id="rId16"/>
    <sheet state="visible" name="ORÇAMENTO 2026 v4" sheetId="13" r:id="rId17"/>
    <sheet state="visible" name="Forecast - Iniciativas" sheetId="14" r:id="rId18"/>
    <sheet state="hidden" name="APROVAÇÕES E CONTROLE" sheetId="15" r:id="rId19"/>
  </sheets>
  <definedNames>
    <definedName hidden="1" localSheetId="7" name="_xlnm._FilterDatabase">'ORÇAMENTO 2026 v1'!$A$1:$K$959</definedName>
    <definedName hidden="1" localSheetId="8" name="_xlnm._FilterDatabase">'ORÇAMENTO 2026 v2'!$A$1:$L$948</definedName>
    <definedName hidden="1" localSheetId="11" name="_xlnm._FilterDatabase">'ORÇAMENTO 2026 v3'!$A$1:$Y$948</definedName>
    <definedName hidden="1" localSheetId="12" name="_xlnm._FilterDatabase">'ORÇAMENTO 2026 v4'!$A$1:$Y$945</definedName>
  </definedNames>
  <calcPr/>
</workbook>
</file>

<file path=xl/sharedStrings.xml><?xml version="1.0" encoding="utf-8"?>
<sst xmlns="http://schemas.openxmlformats.org/spreadsheetml/2006/main" count="4982" uniqueCount="431">
  <si>
    <t>INIBANK</t>
  </si>
  <si>
    <t>INICIATIVA</t>
  </si>
  <si>
    <t>Tipo</t>
  </si>
  <si>
    <t>Prestadora</t>
  </si>
  <si>
    <t>Matrícula</t>
  </si>
  <si>
    <t>Nome</t>
  </si>
  <si>
    <t>Projeção 2026</t>
  </si>
  <si>
    <t>INIBANK-611</t>
  </si>
  <si>
    <t>Implantação do SalesForce para Central de Atendimento de Clientes PJ</t>
  </si>
  <si>
    <t>Forecast</t>
  </si>
  <si>
    <t>INIBANK-289</t>
  </si>
  <si>
    <t>Sustentação Atendimento Salesforce Odin</t>
  </si>
  <si>
    <t>INIBANK-1417</t>
  </si>
  <si>
    <t>[Sustentação] Atendimento / Salesforce</t>
  </si>
  <si>
    <t>INIBANK-1173</t>
  </si>
  <si>
    <t>[Book] Squad Salesforce (Atendimento)</t>
  </si>
  <si>
    <t>INIBANK-1349</t>
  </si>
  <si>
    <t>Atendimento INVEST BANK</t>
  </si>
  <si>
    <t>Time Alocado</t>
  </si>
  <si>
    <t>Sys4B</t>
  </si>
  <si>
    <t>P0660057</t>
  </si>
  <si>
    <t>Cleiton Lima de Jesus</t>
  </si>
  <si>
    <t>P0656797</t>
  </si>
  <si>
    <t>Gustavo Seiji Onizuka</t>
  </si>
  <si>
    <t>P0658519</t>
  </si>
  <si>
    <t>Leonardo Lins</t>
  </si>
  <si>
    <t>P0654694</t>
  </si>
  <si>
    <t>Carlos Eduardo Santos Santana</t>
  </si>
  <si>
    <t>Capgemini</t>
  </si>
  <si>
    <t>P0661574</t>
  </si>
  <si>
    <t>Leonardo Lassance</t>
  </si>
  <si>
    <t>P0661361</t>
  </si>
  <si>
    <t>Fernando da Silva Trevisan</t>
  </si>
  <si>
    <t>P0661715</t>
  </si>
  <si>
    <t>Marcel Vallim Moreira</t>
  </si>
  <si>
    <t>P0661738</t>
  </si>
  <si>
    <t>Erick Delfino Silva</t>
  </si>
  <si>
    <t>P0662312</t>
  </si>
  <si>
    <t>Francielle Thiezo Revesso Pinto</t>
  </si>
  <si>
    <t>P0650648</t>
  </si>
  <si>
    <t>Lucas Takita</t>
  </si>
  <si>
    <t>P0663654</t>
  </si>
  <si>
    <t>Gabriel Costa Datovo Inoue Maekawa</t>
  </si>
  <si>
    <t>P0000000</t>
  </si>
  <si>
    <t>Plantão Salesforce Odin</t>
  </si>
  <si>
    <t>Realizado</t>
  </si>
  <si>
    <t>Resultado</t>
  </si>
  <si>
    <t>Forecast Ajustado</t>
  </si>
  <si>
    <t>CNPJ_PRESTADOR</t>
  </si>
  <si>
    <t>RAZAO_SOCIAL</t>
  </si>
  <si>
    <t>NOME_FANTASIA</t>
  </si>
  <si>
    <t>65.599.953/0001-63</t>
  </si>
  <si>
    <t>CAPGEMINI BRASIL LTDA</t>
  </si>
  <si>
    <t>00.607.819/0003-83</t>
  </si>
  <si>
    <t>CWI SOFTWARE LTDA</t>
  </si>
  <si>
    <t>CWI</t>
  </si>
  <si>
    <t>07.174.743/0001-27</t>
  </si>
  <si>
    <t>GFT BRASIL CONSULTORIA INFORMÁTICA LTDA</t>
  </si>
  <si>
    <t>GFT Brasil</t>
  </si>
  <si>
    <t>93.655.173/0006-33</t>
  </si>
  <si>
    <t>META SERVICOS EM INFORMATICA S/A</t>
  </si>
  <si>
    <t>Meta</t>
  </si>
  <si>
    <t>06.029.766/0004-28</t>
  </si>
  <si>
    <t>OSF DIGITAL LTDA</t>
  </si>
  <si>
    <t>OSF Digital</t>
  </si>
  <si>
    <t>24.231.517/0001-50</t>
  </si>
  <si>
    <t>SYS4B INFORMATICA LTDA</t>
  </si>
  <si>
    <t>STATUS_NFE</t>
  </si>
  <si>
    <t>CNPJ_TOMADOR</t>
  </si>
  <si>
    <t>COMPETENCIA</t>
  </si>
  <si>
    <t>NFE</t>
  </si>
  <si>
    <t>DATA_EMISSAO</t>
  </si>
  <si>
    <t>TOTAL_NFE</t>
  </si>
  <si>
    <t>APURACAO</t>
  </si>
  <si>
    <t>DATA_VENCIMENTO</t>
  </si>
  <si>
    <t>INICIATIVA_DESCRICAO</t>
  </si>
  <si>
    <t xml:space="preserve">Autorizada </t>
  </si>
  <si>
    <t>61.198.164/0001-60</t>
  </si>
  <si>
    <t>22/12/24 a 21/01/25</t>
  </si>
  <si>
    <t>INIBANK-54</t>
  </si>
  <si>
    <t>Evoluções Salesforce para o Cartão</t>
  </si>
  <si>
    <t>22/01/25 a 21/02/25</t>
  </si>
  <si>
    <t>22/02/25 a 21/03/25</t>
  </si>
  <si>
    <t>22/03/25 a 21/04/25</t>
  </si>
  <si>
    <t>Cancelada</t>
  </si>
  <si>
    <t>22/04/25 a 21/05/25</t>
  </si>
  <si>
    <t>04.862.600/0001-10</t>
  </si>
  <si>
    <t>01/01/25 a 31/01/25</t>
  </si>
  <si>
    <t>01/02/25 a 28/02/25</t>
  </si>
  <si>
    <t>01/03/25 a 31/03/25</t>
  </si>
  <si>
    <t>INIBANK-226</t>
  </si>
  <si>
    <t>Evoluções e Melhorias</t>
  </si>
  <si>
    <t>01/04/25 a 21/04/25</t>
  </si>
  <si>
    <t>22/05/25 a 21/06/25</t>
  </si>
  <si>
    <t>22/06/25 a 21/07/25</t>
  </si>
  <si>
    <t>22/07/25 a 21/08/25</t>
  </si>
  <si>
    <t>22/08/25 a 21/09/25</t>
  </si>
  <si>
    <t>22/09/25 a 21/10/25</t>
  </si>
  <si>
    <t>22/10/25 a 21/11/25</t>
  </si>
  <si>
    <t>22/11/25 a 21/12/25</t>
  </si>
  <si>
    <t>22/12/25 a 21/01/26</t>
  </si>
  <si>
    <t>22/01/25 a 21/02/26</t>
  </si>
  <si>
    <t>SUBTOTAL_NFE</t>
  </si>
  <si>
    <t>MATRICULA</t>
  </si>
  <si>
    <t>NOME_PROFISSIONAL</t>
  </si>
  <si>
    <t>PAPEL_PRESTADOR</t>
  </si>
  <si>
    <t>TOTAL_HORAS</t>
  </si>
  <si>
    <t>HH</t>
  </si>
  <si>
    <t>-</t>
  </si>
  <si>
    <t>INIBANK-225</t>
  </si>
  <si>
    <t>SAMUEL PEREIRA JUNIOR</t>
  </si>
  <si>
    <t>Desenvolvedor Salesforce Sênior</t>
  </si>
  <si>
    <t>MARCEL VALLIM MOREIRA</t>
  </si>
  <si>
    <t>FERNANDO DA SILVA TREVISAN</t>
  </si>
  <si>
    <t>Tech Lead Salesforce</t>
  </si>
  <si>
    <t>P0651731</t>
  </si>
  <si>
    <t>Fernando Piovezan</t>
  </si>
  <si>
    <t>P0661870</t>
  </si>
  <si>
    <t>Gustavo Siqueira Martins</t>
  </si>
  <si>
    <t>Desenvolvedor Salesforce</t>
  </si>
  <si>
    <t>Administrador Salesforce</t>
  </si>
  <si>
    <t>Desconto 3/3</t>
  </si>
  <si>
    <t>P0659788</t>
  </si>
  <si>
    <t>RAPHAEL ROSA DE BARROS</t>
  </si>
  <si>
    <t>P0659789</t>
  </si>
  <si>
    <t>GUSTAVO COSTA TENORIO</t>
  </si>
  <si>
    <t>Arquiteto Especialista Salesforce</t>
  </si>
  <si>
    <t>P0659891</t>
  </si>
  <si>
    <t>MARIIA NIKONOVA</t>
  </si>
  <si>
    <t>P0659884</t>
  </si>
  <si>
    <t>VICTOR BERNARDES ARAUJO</t>
  </si>
  <si>
    <t>P0654808</t>
  </si>
  <si>
    <t>Nivaldo Estevao da Silva Junior</t>
  </si>
  <si>
    <t>Desenvolvedor Pleno</t>
  </si>
  <si>
    <t>P0663000</t>
  </si>
  <si>
    <t>DIEGO FELIPE SOUZA OLIVEIRA</t>
  </si>
  <si>
    <t>P0660856</t>
  </si>
  <si>
    <t>Paulo Henrique Alves Pereira</t>
  </si>
  <si>
    <t>Desenvolvedor Salesforce Junior</t>
  </si>
  <si>
    <t>P0662615</t>
  </si>
  <si>
    <t>Márcio Andre Brito da Silveira</t>
  </si>
  <si>
    <t>P0662282</t>
  </si>
  <si>
    <t>Joyce Andrade</t>
  </si>
  <si>
    <t>Consultor UX/UI</t>
  </si>
  <si>
    <t>Project Manager</t>
  </si>
  <si>
    <t>P0659790</t>
  </si>
  <si>
    <t>Rafael Lucateles Cruz</t>
  </si>
  <si>
    <t>Consultor UX/UI Sênior</t>
  </si>
  <si>
    <t>P0661166</t>
  </si>
  <si>
    <t>Adejailson Antonio De Luna</t>
  </si>
  <si>
    <t>Product Owner</t>
  </si>
  <si>
    <t>P0659701</t>
  </si>
  <si>
    <t>Ana Paula Scariot</t>
  </si>
  <si>
    <t>Analista de Teste Sênior</t>
  </si>
  <si>
    <t>P0659934</t>
  </si>
  <si>
    <t>Jorge Cardoso Filho</t>
  </si>
  <si>
    <t>Analista de Teste</t>
  </si>
  <si>
    <t>P0660084</t>
  </si>
  <si>
    <t>Marcelo Lopes</t>
  </si>
  <si>
    <t>LEONARDO LASSANCE</t>
  </si>
  <si>
    <t>STATUS_PRESTADOR</t>
  </si>
  <si>
    <t>E-MAIL_PORTO</t>
  </si>
  <si>
    <t>E-MAIL_CONSULTORIA</t>
  </si>
  <si>
    <t>TIME</t>
  </si>
  <si>
    <t>ESTIMADO_MENSAL</t>
  </si>
  <si>
    <t>ESTIMADO_ANUAL</t>
  </si>
  <si>
    <t>Inativo</t>
  </si>
  <si>
    <t>Raphael Rosa de Barros</t>
  </si>
  <si>
    <t>raphael.barros@portoseguro.com.br</t>
  </si>
  <si>
    <t>raphael.barros@capgemini.com</t>
  </si>
  <si>
    <t>Victor Bernardes Araujo</t>
  </si>
  <si>
    <t>victor.araujo@portoseguro.com.br</t>
  </si>
  <si>
    <t>victor.b.araujo@capgemini.com</t>
  </si>
  <si>
    <t>Ativo</t>
  </si>
  <si>
    <t>erick.delfino@portoseguro.com.br</t>
  </si>
  <si>
    <t>erick.silva@capgemini.com</t>
  </si>
  <si>
    <t>adejailson.luna@portoseguro.com.br</t>
  </si>
  <si>
    <t>adejailson.luna@meta.com.br</t>
  </si>
  <si>
    <t>cleiton.jesus@portoseguro.com.br</t>
  </si>
  <si>
    <t>cleiton.jesus@sys4b.com.br</t>
  </si>
  <si>
    <t>gustavo.onizuka@portoseguro.com.br</t>
  </si>
  <si>
    <t>gustavo.s.onizuka@sys4b.com.br</t>
  </si>
  <si>
    <t>leonardo.lins@portoseguro.com.br</t>
  </si>
  <si>
    <t>leonardo.silva@sys4b.com.br</t>
  </si>
  <si>
    <t>joyce.barretosouza@portoseguro.com.br</t>
  </si>
  <si>
    <t>joyce.souza@sys4b.com.br</t>
  </si>
  <si>
    <t>leonardo.lassance@portoseguro.com.br</t>
  </si>
  <si>
    <t>leonardo.lassance@capgemini.com</t>
  </si>
  <si>
    <t>Mariia Nikonova</t>
  </si>
  <si>
    <t>mariia.nikonova@portoseguro.com.br</t>
  </si>
  <si>
    <t>mariia.nikonova@capgemini.com</t>
  </si>
  <si>
    <t>Novos Projetos</t>
  </si>
  <si>
    <t>fernando.trevisan@portoseguro.com.br</t>
  </si>
  <si>
    <t>fernando.trevisan@capgemini.com</t>
  </si>
  <si>
    <t>marcel.moreira@portoseguro.com.br</t>
  </si>
  <si>
    <t>marcel.moreira@capgemini.com</t>
  </si>
  <si>
    <t>Diego Felipe Souza Oliveira</t>
  </si>
  <si>
    <t>diego.felipeoliveira@portoseguro.com.br</t>
  </si>
  <si>
    <t>diego.a.oliveira@capgemini.com</t>
  </si>
  <si>
    <t>rafael.lucateles@portoseguro.com.br</t>
  </si>
  <si>
    <t>rafael.a.cruz@capgemini.com</t>
  </si>
  <si>
    <t>jorge.filho@portoseguro.com.br</t>
  </si>
  <si>
    <t>GFT</t>
  </si>
  <si>
    <t>carloseduardo.santos@portoseguro.com.br</t>
  </si>
  <si>
    <t>carlos.santana@sys4b.com.br</t>
  </si>
  <si>
    <t>francielle.pinto@portoseguro.com.br</t>
  </si>
  <si>
    <t>francielle.revesso@sys4b.com.br</t>
  </si>
  <si>
    <t>Plataforma Salesforce Odin</t>
  </si>
  <si>
    <t>lucas.takita@portoseguro.com.br</t>
  </si>
  <si>
    <t>lucas.takita@infinitysys.com.br</t>
  </si>
  <si>
    <t>gabriel.maekawa@portoseguro.com.br</t>
  </si>
  <si>
    <t>gabriel.montalbini@sys4b.com.br</t>
  </si>
  <si>
    <t>INICIATIVA_TIPO</t>
  </si>
  <si>
    <t>INICIATIVA_DIREÇÃO</t>
  </si>
  <si>
    <t>TOTAL_FORECAST</t>
  </si>
  <si>
    <t>Soma</t>
  </si>
  <si>
    <t>[Book] Squad Salesforce (Atendimento) - Adicional Postergação NF 2025/2026</t>
  </si>
  <si>
    <t>Adicional Forecast</t>
  </si>
  <si>
    <t>Atendimento INVEST BANK - MVP</t>
  </si>
  <si>
    <t>Atendimento INVEST BANK - SAC + SEGMENTACÃO + PERMISSIONAMENTO</t>
  </si>
  <si>
    <t>Redução Forecast</t>
  </si>
  <si>
    <t>Subtrai</t>
  </si>
  <si>
    <t>Nome Prestador</t>
  </si>
  <si>
    <t>e-mail Porto</t>
  </si>
  <si>
    <t>e-mail Consultoria</t>
  </si>
  <si>
    <t>Papel</t>
  </si>
  <si>
    <t>Consultoria</t>
  </si>
  <si>
    <t>Time</t>
  </si>
  <si>
    <t>R$ H/h</t>
  </si>
  <si>
    <t>Estimado Mensal</t>
  </si>
  <si>
    <t>Estimado até Dez/25</t>
  </si>
  <si>
    <t>Iniciativa</t>
  </si>
  <si>
    <t>Plantão Salesforce Odin + OverTime</t>
  </si>
  <si>
    <t>Estimado 11 meses</t>
  </si>
  <si>
    <t>Estimado Anual</t>
  </si>
  <si>
    <t>Salesforce Developer Jr</t>
  </si>
  <si>
    <t>Salesforce Developer Pleno</t>
  </si>
  <si>
    <t>Salesforce Developer Senior</t>
  </si>
  <si>
    <t>Salesforce Tech Lead</t>
  </si>
  <si>
    <t>Salesforce Funcional Jr</t>
  </si>
  <si>
    <t>Salesforce Funcional Pleno</t>
  </si>
  <si>
    <t>Salesforce Funcional Senior</t>
  </si>
  <si>
    <t>Salesforce Developer Pleno I</t>
  </si>
  <si>
    <t>Salesforce Developer Pleno II</t>
  </si>
  <si>
    <t>Salesforce Developer Especialista</t>
  </si>
  <si>
    <t>Salesforce Funcional Especialista</t>
  </si>
  <si>
    <t>Salesforce Tech Lead Pleno</t>
  </si>
  <si>
    <t>Salesforce Tech Lead Senior</t>
  </si>
  <si>
    <t>Salesforce Tech Lead Especialista</t>
  </si>
  <si>
    <t>Analista de Teste Jr</t>
  </si>
  <si>
    <t>Analista de Teste Pleno</t>
  </si>
  <si>
    <t>Analista de Teste Senior</t>
  </si>
  <si>
    <t>Analista de Teste Especialista</t>
  </si>
  <si>
    <t>ZUP</t>
  </si>
  <si>
    <t>PERFIL</t>
  </si>
  <si>
    <t>Júnior (R$)</t>
  </si>
  <si>
    <t>Pleno (R$)</t>
  </si>
  <si>
    <t>Sênior (R$)</t>
  </si>
  <si>
    <t>Especialista (R$)</t>
  </si>
  <si>
    <t>Agile</t>
  </si>
  <si>
    <t>Analista de Automação de Testes</t>
  </si>
  <si>
    <t>Analista de Dados</t>
  </si>
  <si>
    <t>Analista de Negócios</t>
  </si>
  <si>
    <t>Analista de Sistemas</t>
  </si>
  <si>
    <t>Arquiteto</t>
  </si>
  <si>
    <t>Arquiteto de Salesforce</t>
  </si>
  <si>
    <t>Arquiteto SAP</t>
  </si>
  <si>
    <t>Back End</t>
  </si>
  <si>
    <t>Cientista de Dados</t>
  </si>
  <si>
    <t>Consultor</t>
  </si>
  <si>
    <t>Consultor SAP ECC (FI, CO, MM, SD, PP, QM, PM, WM)</t>
  </si>
  <si>
    <t>DBA</t>
  </si>
  <si>
    <t>Desenvolvedor</t>
  </si>
  <si>
    <t>Desenvolvedor ABAP</t>
  </si>
  <si>
    <t>Desenvolvedor SAP DATA SERVICES</t>
  </si>
  <si>
    <t>Desenvolvedor SAP PI</t>
  </si>
  <si>
    <t>Devops</t>
  </si>
  <si>
    <t>Engenheiro de Dados</t>
  </si>
  <si>
    <t>Front End</t>
  </si>
  <si>
    <t>Fullstack</t>
  </si>
  <si>
    <t>Funcional</t>
  </si>
  <si>
    <t>Funcional Salesforce</t>
  </si>
  <si>
    <t>Funcional SAP ECC (FSCD)</t>
  </si>
  <si>
    <t>Funcional SAP ECC (MM/FI/CO/WM/SD)</t>
  </si>
  <si>
    <t>Gerente de Projetos</t>
  </si>
  <si>
    <t>Gerente de Projetos SAP</t>
  </si>
  <si>
    <t>Gestor de Projetos/Releases/Scrum SAP</t>
  </si>
  <si>
    <t>Líder Técnico</t>
  </si>
  <si>
    <t>QA</t>
  </si>
  <si>
    <t>Tester</t>
  </si>
  <si>
    <t>PP</t>
  </si>
  <si>
    <t>0 a 200 horas</t>
  </si>
  <si>
    <t>H/h</t>
  </si>
  <si>
    <t>Horas/mês</t>
  </si>
  <si>
    <t>Mensal</t>
  </si>
  <si>
    <t>12 meses</t>
  </si>
  <si>
    <t>P</t>
  </si>
  <si>
    <t>201 a  300 horas</t>
  </si>
  <si>
    <t>M</t>
  </si>
  <si>
    <t>301 a 1000 horas</t>
  </si>
  <si>
    <t>G</t>
  </si>
  <si>
    <t>1001 a 1500 horas</t>
  </si>
  <si>
    <t>Salesforce Developer</t>
  </si>
  <si>
    <t>GG</t>
  </si>
  <si>
    <t xml:space="preserve"> acima de 1500 horas</t>
  </si>
  <si>
    <t>2 - até 1 dia </t>
  </si>
  <si>
    <t>3 - até 2 dias </t>
  </si>
  <si>
    <t>5 - até 3 dias </t>
  </si>
  <si>
    <t>10 meses</t>
  </si>
  <si>
    <t>8 - 4 a 5 dias (menor complexidade) </t>
  </si>
  <si>
    <t>13 - 5 a 6 dias(maior complexidade) </t>
  </si>
  <si>
    <t>21 - 8 a 9 dias</t>
  </si>
  <si>
    <t>81 do squad e fazendo analise</t>
  </si>
  <si>
    <t>por sprint</t>
  </si>
  <si>
    <t>21 Point por dev</t>
  </si>
  <si>
    <t>Temos uma média de 90 Story Point por Sprint</t>
  </si>
  <si>
    <t>Forecast Projetado</t>
  </si>
  <si>
    <t>22/02 - 21/03</t>
  </si>
  <si>
    <t>22/03 - 10/04</t>
  </si>
  <si>
    <t>Corte Orçamento</t>
  </si>
  <si>
    <t>Forecast Reajustado</t>
  </si>
  <si>
    <t>Time Alocado Reajustado</t>
  </si>
  <si>
    <t>DCheck</t>
  </si>
  <si>
    <t>STATUS</t>
  </si>
  <si>
    <t>CNPJ DE FATURAMENTO</t>
  </si>
  <si>
    <t>Orçamento Aprovado</t>
  </si>
  <si>
    <t>jan</t>
  </si>
  <si>
    <t>fev</t>
  </si>
  <si>
    <t>mar</t>
  </si>
  <si>
    <t>abr</t>
  </si>
  <si>
    <t>mai</t>
  </si>
  <si>
    <t>Total Realizado</t>
  </si>
  <si>
    <t>Forecast Jun/Dez</t>
  </si>
  <si>
    <t>jun</t>
  </si>
  <si>
    <t>jul</t>
  </si>
  <si>
    <t>ago</t>
  </si>
  <si>
    <t>set</t>
  </si>
  <si>
    <t>out</t>
  </si>
  <si>
    <t>nov</t>
  </si>
  <si>
    <t>dez</t>
  </si>
  <si>
    <t>Racional utilizado para a projeção</t>
  </si>
  <si>
    <t>Domínio</t>
  </si>
  <si>
    <t>Produto</t>
  </si>
  <si>
    <t>Coord Tech</t>
  </si>
  <si>
    <t>Super/Ger Tech</t>
  </si>
  <si>
    <t>Diretoria</t>
  </si>
  <si>
    <t>Memória de calculo.</t>
  </si>
  <si>
    <t>Observação</t>
  </si>
  <si>
    <t>Encerrado</t>
  </si>
  <si>
    <t>OK</t>
  </si>
  <si>
    <t xml:space="preserve">INIBANK-054 </t>
  </si>
  <si>
    <t>INIBANK-054 - Evoluções Salesforce para o Cartão</t>
  </si>
  <si>
    <t>Atendimento</t>
  </si>
  <si>
    <t>Cartão de Crédito</t>
  </si>
  <si>
    <t>Marcos Rosa</t>
  </si>
  <si>
    <t>Anderson Ami</t>
  </si>
  <si>
    <t>Tiago Violin</t>
  </si>
  <si>
    <t xml:space="preserve">INIBANK-226 </t>
  </si>
  <si>
    <t>INIBANK-226 - Integração Consórcio (Newcon com Salesforce)</t>
  </si>
  <si>
    <t>Consórcio</t>
  </si>
  <si>
    <t>INIBANK-1053</t>
  </si>
  <si>
    <t>SALESFORCE MELHORIAS</t>
  </si>
  <si>
    <t>Em execução</t>
  </si>
  <si>
    <t>PortoSeg 04.862.600/0001-10</t>
  </si>
  <si>
    <t>Luciana Hildebrandi</t>
  </si>
  <si>
    <t>Somente para o time de Atendimento</t>
  </si>
  <si>
    <t>Cartão de Crédito PJ</t>
  </si>
  <si>
    <t>Ajustar Forecast</t>
  </si>
  <si>
    <t>INIBANK-906</t>
  </si>
  <si>
    <t>[Salesforce] - Segurança (autenticação)</t>
  </si>
  <si>
    <t xml:space="preserve">INIBANK-907 </t>
  </si>
  <si>
    <t>[Salesforce] - Adequação processos de atendimento no Pix da Conta</t>
  </si>
  <si>
    <t>Salesforce Evoluções e Melhorias Conta Digital e Cartão de Crédito</t>
  </si>
  <si>
    <t>Postergação de NF 2025/2026</t>
  </si>
  <si>
    <t>Prestador</t>
  </si>
  <si>
    <t>Frente</t>
  </si>
  <si>
    <t>Período de Apuração</t>
  </si>
  <si>
    <t>Aprovação das Horas</t>
  </si>
  <si>
    <t>NFe</t>
  </si>
  <si>
    <t>Data Emissão</t>
  </si>
  <si>
    <t>Valor Total</t>
  </si>
  <si>
    <t>Data Prev Vencimento</t>
  </si>
  <si>
    <t>Descrição do Serv Prestado</t>
  </si>
  <si>
    <t>Aprovação do Pgto</t>
  </si>
  <si>
    <t>Data Real Pgto</t>
  </si>
  <si>
    <t>Status Pgto</t>
  </si>
  <si>
    <t>Sim</t>
  </si>
  <si>
    <t>INIBANK-54 Evoluções Salesforce para o Cartão e INIBANK-225 Evoluções Salesforce para a Conta Digital</t>
  </si>
  <si>
    <t>Cartão de Crédito Pessoa Física e Conta Digital PF</t>
  </si>
  <si>
    <t>Desenvolvimento no ambiente Salesforce Odin para melhorias de jornadas de atendimento para Cartão de Crédito Pessoa Física e Conta Digital PF</t>
  </si>
  <si>
    <t>Em aberto</t>
  </si>
  <si>
    <t>Não há memória de cálculo pois passou a valer apenas em meses posteriores</t>
  </si>
  <si>
    <t>Não há memória de cálculo pois passou a valer apenas em meses posteriores. Aprovado o pgto dia 16/06/25 via e-mail - PORTO BANK - Notas Fiscais Pendentes - Abril/25</t>
  </si>
  <si>
    <t>Houve um desconto sobre o valor total. Aprovado para pgto dia 13/06/25 via e-mail - Fwd: PORTO SEGURO - NF 2791 - SYS4B</t>
  </si>
  <si>
    <t>Sinistro Auto</t>
  </si>
  <si>
    <t>Nota fiscal do Sinistro Auto (Márcio Vieira), questionei via e-mail dia 16/06/25 - Fwd: PORTO SEGURO - NF 4802 - SYS4B</t>
  </si>
  <si>
    <t>Aprovado o pgto dia 11/06/25 via e-mail - Re: PORTO - NF 2838 - SYS4B</t>
  </si>
  <si>
    <t>NFe da frente da KITA - vide e-mail de 13/06/25 - Fwd: PORTO SEGURO - 2886 - SYS4B</t>
  </si>
  <si>
    <t>Aprovado o pgto dia 13/06/25 via e-mail - Fwd: PORTO - NF 2887 - SYS4B</t>
  </si>
  <si>
    <t>Cartão de Crédito Pessoa Jurídica e Conta Digital Pessoa Jurídica e Consórcio Pessoa Jurídica e Pessoa Física</t>
  </si>
  <si>
    <t>Desenvolvimento da jornadas de atendimento para Cartão de Crédito Pessoa Jurídica e Conta Digital Pessoa Jurídica na Plataforma Salesforce Odin e Desenvolvimento da jornadas de atendimento para o Consórcio Pessoa Jurídica e Pessoa Física na Plataforma Salesforce Odin</t>
  </si>
  <si>
    <t>Não há memória de cálculo, e não tenho a informação se foi aprovado ou se foi pago</t>
  </si>
  <si>
    <t>INIBANK-611 Implantação do SalesForce (ODIN) para Central de Atendimento</t>
  </si>
  <si>
    <t xml:space="preserve">Cartão de Crédito Pessoa Jurídica e Conta Digital Pessoa Jurídica </t>
  </si>
  <si>
    <t>Desenvolvimento da jornadas de atendimento para Cartão de Crédito Pessoa Jurídica e Conta Digital Pessoa Jurídica na Plataforma Salesforce Odin</t>
  </si>
  <si>
    <t>Marcos fez uma agenda dia 08/04 com a Vanessa para realizar a validação da NF. Não tenho informação sobre aprovação da NF e Pgto - vide e-mail de 07/04 - Re: NF(s) 145881 - PORTO_SEGURO_ADMINISTRADORA_DE_CONSORCIOS_LTDA</t>
  </si>
  <si>
    <t>R$ 146,501.52</t>
  </si>
  <si>
    <t>INIBANK-226 Integração Consórcio (Newcon com Salesforce)</t>
  </si>
  <si>
    <t>Consórcio Pessoa Jurídica e Pessoa Física</t>
  </si>
  <si>
    <t>Desenvolvimento da jornadas de atendimento para o Consórcio Pessoa Jurídica e Pessoa Física na Plataforma Salesforce Odin</t>
  </si>
  <si>
    <t>Não tenho informações sobre pgto em aberto</t>
  </si>
  <si>
    <t>R$ 101,456.94</t>
  </si>
  <si>
    <t>Aprovado o pgto dia 12/06/25 via e-mail - Re: NF(s) 147368 - PORTO_SEGURO_ADMINISTRADORA_DE_CONSORCIOS_LTDA</t>
  </si>
  <si>
    <t>Aprovado o pgto dia 23/06/25 via e-mail - Re: NF(s) 147373 - PORTOSEG_SA_-_CREDITO,_FINANCIAMENTO_EINVESTIMENTO</t>
  </si>
  <si>
    <t>INIBANK-611 [Cartão PJ] Implantação do SalesForce (ODIN) para Central de Atendimento</t>
  </si>
  <si>
    <t>Aprovado o pgto dia 11/06/25 via e-mail - NF(s) 148462 - PORTOSEG S A - CREDITO, FINANCIAMENTO EINVESTIMENTO</t>
  </si>
  <si>
    <t>Aprovado o pgto dia 11/06/25 via e-mail - NF(s) 148457 - PORTO SEGURO ADMINISTRADORA DE CONSORCIOS LTDA</t>
  </si>
  <si>
    <t>Desenvolvimento da jornadas de atendimento para Cartão de Crédito Pessoa Jurídica e Conta Digital Pessoa Jurídica na Plataforma Salesforce Odin. Atuou na retirada das APIs Mocks nas jornadas de consumo das APIs do Iaas</t>
  </si>
  <si>
    <t>Desenvolvimento da jornadas de atendimento para Cartão de Crédito Pessoa Jurídica e Conta Digital Pessoa Jurídica na Plataforma Salesforce Odin. Atuaram no desenvolvimento do front de atendimento para o cartão de crédito PJ</t>
  </si>
  <si>
    <t>Aprovado o pgto dia 16/06/25 via e-mail - ENC: PORTO SEGURO: Faturamento OSF Filial SP - Maio/2025 - Porto Bank / Atendimento-Consórcio - NF 883</t>
  </si>
  <si>
    <t>Aprovado o pgto dia 16/06/25 via e-mail - ENC: PORTO SEGURO: Faturamento OSF - Maio/2025 - Porto Bank - Segmento PJ - NF 884</t>
  </si>
  <si>
    <t>Sensedia</t>
  </si>
  <si>
    <t>Parcerias</t>
  </si>
  <si>
    <t>Parcerias Pessoa Jurídica</t>
  </si>
  <si>
    <t>Recebi esta NFe da Gabi Simiano no chat no dia 13/06/2025</t>
  </si>
  <si>
    <t>ACT Digital</t>
  </si>
  <si>
    <t>INIBANK-289 - [Sustentação] Parcerias, Atendimento e Esteiras</t>
  </si>
  <si>
    <t>Sustentação</t>
  </si>
  <si>
    <t>Sustentação das frentes de Parcerias, Atendimento e Esteiras. Alocação do João Henrique Fonseca Vieira da Silva. Fase Execução-Produto: Parcerias</t>
  </si>
  <si>
    <t>Aprovado o pgto dia 16/06/25 via e-mail - Fwd: act digital | Porto Seguro | Medição dos Serviços Prestados | Área: Portal | 22/04/2025 a 21/05/2025 | Marcos Rosa</t>
  </si>
  <si>
    <t>Aprovado o pgto dia 08/07/25 via e-mail - NF(s) 149204 - PORTOSEG S/A - CREDITO, FINANCIAMENTO EINVESTIMENTO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</si>
</sst>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-&quot;R$&quot;\ * #,##0.00_-;\-&quot;R$&quot;\ * #,##0.00_-;_-&quot;R$&quot;\ * &quot;-&quot;??_-;_-@"/>
    <numFmt numFmtId="165" formatCode="_-[$R$-416]\ * #,##0.00_-;\-[$R$-416]\ * #,##0.00_-;_-[$R$-416]\ * &quot;-&quot;??_-;_-@"/>
    <numFmt numFmtId="166" formatCode="&quot;R$&quot;\ #,##0.00;[Red]\-&quot;R$&quot;\ #,##0.00"/>
    <numFmt numFmtId="167" formatCode="&quot;R$&quot;\ #,##0;[Red]\-&quot;R$&quot;\ #,##0"/>
    <numFmt numFmtId="168" formatCode="&quot;R$&quot;\ #,##0.00;\-&quot;R$&quot;\ #,##0.00"/>
    <numFmt numFmtId="169" formatCode="_-* #,##0.00_-;\-* #,##0.00_-;_-* &quot;-&quot;??_-;_-@"/>
  </numFmts>
  <fonts count="16">
    <font>
      <sz val="11.0"/>
      <color theme="1"/>
      <name val="Calibri"/>
      <scheme val="minor"/>
    </font>
    <font>
      <b/>
      <sz val="10.0"/>
      <color theme="0"/>
      <name val="Arial"/>
    </font>
    <font>
      <b/>
      <sz val="11.0"/>
      <color theme="0"/>
      <name val="Calibri"/>
    </font>
    <font>
      <sz val="10.0"/>
      <color theme="1"/>
      <name val="Arial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0.0"/>
      <color theme="1"/>
      <name val="Arial"/>
    </font>
    <font>
      <sz val="12.0"/>
      <color theme="1"/>
      <name val="Calibri"/>
      <scheme val="minor"/>
    </font>
    <font>
      <sz val="11.0"/>
      <color rgb="FF1F1F1F"/>
      <name val="Calibri"/>
      <scheme val="minor"/>
    </font>
    <font>
      <sz val="11.0"/>
      <color rgb="FF000000"/>
      <name val="Calibri"/>
      <scheme val="minor"/>
    </font>
    <font>
      <b/>
      <sz val="10.0"/>
      <color rgb="FFFFFFFF"/>
      <name val="Arial"/>
    </font>
    <font>
      <b/>
      <sz val="11.0"/>
      <color theme="1"/>
      <name val="Calibri"/>
      <scheme val="minor"/>
    </font>
    <font>
      <b/>
      <sz val="11.0"/>
      <color rgb="FF1B1C1D"/>
      <name val="Calibri"/>
      <scheme val="minor"/>
    </font>
    <font>
      <sz val="11.0"/>
      <color rgb="FF1B1C1D"/>
      <name val="Calibri"/>
      <scheme val="minor"/>
    </font>
    <font>
      <sz val="12.0"/>
      <color rgb="FF222222"/>
      <name val="Arial"/>
    </font>
  </fonts>
  <fills count="9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</fills>
  <borders count="11">
    <border/>
    <border>
      <left/>
      <right/>
      <top/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shrinkToFit="0" wrapText="1"/>
    </xf>
    <xf borderId="1" fillId="2" fontId="2" numFmtId="17" xfId="0" applyBorder="1" applyFont="1" applyNumberFormat="1"/>
    <xf borderId="0" fillId="0" fontId="3" numFmtId="0" xfId="0" applyFont="1"/>
    <xf borderId="0" fillId="0" fontId="4" numFmtId="0" xfId="0" applyFont="1"/>
    <xf borderId="0" fillId="0" fontId="5" numFmtId="164" xfId="0" applyFont="1" applyNumberFormat="1"/>
    <xf borderId="0" fillId="0" fontId="6" numFmtId="164" xfId="0" applyFont="1" applyNumberFormat="1"/>
    <xf borderId="0" fillId="0" fontId="6" numFmtId="0" xfId="0" applyFont="1"/>
    <xf borderId="0" fillId="0" fontId="6" numFmtId="165" xfId="0" applyFont="1" applyNumberFormat="1"/>
    <xf borderId="0" fillId="0" fontId="6" numFmtId="166" xfId="0" applyFont="1" applyNumberFormat="1"/>
    <xf borderId="0" fillId="0" fontId="7" numFmtId="167" xfId="0" applyFont="1" applyNumberFormat="1"/>
    <xf borderId="2" fillId="3" fontId="8" numFmtId="0" xfId="0" applyBorder="1" applyFill="1" applyFont="1"/>
    <xf borderId="2" fillId="3" fontId="8" numFmtId="0" xfId="0" applyAlignment="1" applyBorder="1" applyFont="1">
      <alignment readingOrder="0"/>
    </xf>
    <xf borderId="2" fillId="3" fontId="8" numFmtId="0" xfId="0" applyBorder="1" applyFont="1"/>
    <xf borderId="2" fillId="3" fontId="8" numFmtId="0" xfId="0" applyBorder="1" applyFont="1"/>
    <xf borderId="2" fillId="3" fontId="0" numFmtId="0" xfId="0" applyAlignment="1" applyBorder="1" applyFont="1">
      <alignment readingOrder="0"/>
    </xf>
    <xf borderId="2" fillId="3" fontId="0" numFmtId="0" xfId="0" applyBorder="1" applyFont="1"/>
    <xf borderId="2" fillId="3" fontId="0" numFmtId="4" xfId="0" applyAlignment="1" applyBorder="1" applyFont="1" applyNumberFormat="1">
      <alignment readingOrder="0"/>
    </xf>
    <xf borderId="2" fillId="3" fontId="0" numFmtId="0" xfId="0" applyBorder="1" applyFont="1"/>
    <xf borderId="2" fillId="3" fontId="0" numFmtId="17" xfId="0" applyBorder="1" applyFont="1" applyNumberFormat="1"/>
    <xf borderId="2" fillId="3" fontId="0" numFmtId="14" xfId="0" applyBorder="1" applyFont="1" applyNumberFormat="1"/>
    <xf borderId="2" fillId="3" fontId="0" numFmtId="4" xfId="0" applyBorder="1" applyFont="1" applyNumberFormat="1"/>
    <xf borderId="2" fillId="3" fontId="0" numFmtId="0" xfId="0" applyBorder="1" applyFont="1"/>
    <xf borderId="2" fillId="3" fontId="0" numFmtId="0" xfId="0" applyAlignment="1" applyBorder="1" applyFont="1">
      <alignment readingOrder="0"/>
    </xf>
    <xf borderId="2" fillId="3" fontId="4" numFmtId="0" xfId="0" applyAlignment="1" applyBorder="1" applyFont="1">
      <alignment readingOrder="0"/>
    </xf>
    <xf borderId="2" fillId="3" fontId="0" numFmtId="0" xfId="0" applyAlignment="1" applyBorder="1" applyFont="1">
      <alignment horizontal="right" readingOrder="0"/>
    </xf>
    <xf borderId="2" fillId="3" fontId="0" numFmtId="164" xfId="0" applyAlignment="1" applyBorder="1" applyFont="1" applyNumberFormat="1">
      <alignment readingOrder="0"/>
    </xf>
    <xf borderId="2" fillId="3" fontId="0" numFmtId="4" xfId="0" applyAlignment="1" applyBorder="1" applyFont="1" applyNumberFormat="1">
      <alignment horizontal="right"/>
    </xf>
    <xf quotePrefix="1" borderId="2" fillId="3" fontId="0" numFmtId="0" xfId="0" applyBorder="1" applyFont="1"/>
    <xf borderId="2" fillId="3" fontId="0" numFmtId="17" xfId="0" applyAlignment="1" applyBorder="1" applyFont="1" applyNumberFormat="1">
      <alignment shrinkToFit="0" vertical="center" wrapText="1"/>
    </xf>
    <xf borderId="2" fillId="3" fontId="0" numFmtId="0" xfId="0" applyAlignment="1" applyBorder="1" applyFont="1">
      <alignment shrinkToFit="0" vertical="center" wrapText="1"/>
    </xf>
    <xf borderId="2" fillId="3" fontId="0" numFmtId="14" xfId="0" applyAlignment="1" applyBorder="1" applyFont="1" applyNumberFormat="1">
      <alignment shrinkToFit="0" vertical="center" wrapText="1"/>
    </xf>
    <xf borderId="2" fillId="3" fontId="0" numFmtId="0" xfId="0" applyAlignment="1" applyBorder="1" applyFont="1">
      <alignment horizontal="center" shrinkToFit="0" vertical="center" wrapText="1"/>
    </xf>
    <xf borderId="2" fillId="3" fontId="0" numFmtId="0" xfId="0" applyAlignment="1" applyBorder="1" applyFont="1">
      <alignment horizontal="left" shrinkToFit="0" vertical="center" wrapText="1"/>
    </xf>
    <xf borderId="2" fillId="3" fontId="9" numFmtId="0" xfId="0" applyBorder="1" applyFont="1"/>
    <xf borderId="2" fillId="3" fontId="0" numFmtId="0" xfId="0" applyAlignment="1" applyBorder="1" applyFont="1">
      <alignment horizontal="right"/>
    </xf>
    <xf borderId="2" fillId="3" fontId="0" numFmtId="0" xfId="0" applyAlignment="1" applyBorder="1" applyFont="1">
      <alignment horizontal="left"/>
    </xf>
    <xf borderId="2" fillId="3" fontId="0" numFmtId="164" xfId="0" applyBorder="1" applyFont="1" applyNumberFormat="1"/>
    <xf borderId="2" fillId="3" fontId="4" numFmtId="0" xfId="0" applyBorder="1" applyFont="1"/>
    <xf borderId="2" fillId="3" fontId="4" numFmtId="168" xfId="0" applyBorder="1" applyFont="1" applyNumberFormat="1"/>
    <xf quotePrefix="1" borderId="2" fillId="3" fontId="4" numFmtId="0" xfId="0" applyBorder="1" applyFont="1"/>
    <xf borderId="2" fillId="3" fontId="4" numFmtId="9" xfId="0" applyBorder="1" applyFont="1" applyNumberFormat="1"/>
    <xf borderId="2" fillId="3" fontId="4" numFmtId="0" xfId="0" applyBorder="1" applyFont="1"/>
    <xf borderId="2" fillId="3" fontId="10" numFmtId="17" xfId="0" applyBorder="1" applyFont="1" applyNumberFormat="1"/>
    <xf borderId="2" fillId="3" fontId="10" numFmtId="0" xfId="0" applyBorder="1" applyFont="1"/>
    <xf borderId="2" fillId="3" fontId="10" numFmtId="0" xfId="0" applyAlignment="1" applyBorder="1" applyFont="1">
      <alignment readingOrder="0"/>
    </xf>
    <xf borderId="2" fillId="3" fontId="10" numFmtId="164" xfId="0" applyAlignment="1" applyBorder="1" applyFont="1" applyNumberFormat="1">
      <alignment readingOrder="0"/>
    </xf>
    <xf borderId="2" fillId="3" fontId="10" numFmtId="4" xfId="0" applyBorder="1" applyFont="1" applyNumberFormat="1"/>
    <xf borderId="2" fillId="3" fontId="10" numFmtId="0" xfId="0" applyBorder="1" applyFont="1"/>
    <xf borderId="2" fillId="3" fontId="10" numFmtId="165" xfId="0" applyAlignment="1" applyBorder="1" applyFont="1" applyNumberFormat="1">
      <alignment readingOrder="0"/>
    </xf>
    <xf borderId="1" fillId="2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1" numFmtId="168" xfId="0" applyAlignment="1" applyBorder="1" applyFont="1" applyNumberFormat="1">
      <alignment horizontal="center" shrinkToFit="0" vertical="center" wrapText="1"/>
    </xf>
    <xf borderId="1" fillId="2" fontId="1" numFmtId="168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3" numFmtId="168" xfId="0" applyAlignment="1" applyBorder="1" applyFont="1" applyNumberFormat="1">
      <alignment horizontal="center" shrinkToFit="0" vertical="center" wrapText="1"/>
    </xf>
    <xf borderId="5" fillId="0" fontId="3" numFmtId="168" xfId="0" applyAlignment="1" applyBorder="1" applyFont="1" applyNumberFormat="1">
      <alignment horizontal="center" shrinkToFit="0" vertical="center" wrapText="1"/>
    </xf>
    <xf borderId="6" fillId="0" fontId="3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8" xfId="0" applyAlignment="1" applyFont="1" applyNumberFormat="1">
      <alignment horizontal="center" shrinkToFit="0" vertical="center" wrapText="1"/>
    </xf>
    <xf borderId="7" fillId="0" fontId="3" numFmtId="168" xfId="0" applyAlignment="1" applyBorder="1" applyFont="1" applyNumberFormat="1">
      <alignment horizontal="center" shrinkToFit="0" vertical="center" wrapText="1"/>
    </xf>
    <xf borderId="8" fillId="0" fontId="3" numFmtId="0" xfId="0" applyAlignment="1" applyBorder="1" applyFont="1">
      <alignment shrinkToFit="0" vertical="center" wrapText="1"/>
    </xf>
    <xf borderId="9" fillId="0" fontId="3" numFmtId="0" xfId="0" applyAlignment="1" applyBorder="1" applyFont="1">
      <alignment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9" fillId="0" fontId="3" numFmtId="168" xfId="0" applyAlignment="1" applyBorder="1" applyFont="1" applyNumberFormat="1">
      <alignment horizontal="center" shrinkToFit="0" vertical="center" wrapText="1"/>
    </xf>
    <xf borderId="9" fillId="0" fontId="7" numFmtId="168" xfId="0" applyAlignment="1" applyBorder="1" applyFont="1" applyNumberFormat="1">
      <alignment horizontal="center" shrinkToFit="0" vertical="center" wrapText="1"/>
    </xf>
    <xf borderId="10" fillId="0" fontId="3" numFmtId="168" xfId="0" applyAlignment="1" applyBorder="1" applyFont="1" applyNumberFormat="1">
      <alignment horizontal="center" shrinkToFit="0" vertical="center" wrapText="1"/>
    </xf>
    <xf borderId="0" fillId="0" fontId="7" numFmtId="168" xfId="0" applyAlignment="1" applyFont="1" applyNumberFormat="1">
      <alignment horizontal="center" shrinkToFit="0" vertical="center" wrapText="1"/>
    </xf>
    <xf borderId="0" fillId="0" fontId="3" numFmtId="168" xfId="0" applyFont="1" applyNumberFormat="1"/>
    <xf borderId="6" fillId="0" fontId="3" numFmtId="0" xfId="0" applyBorder="1" applyFont="1"/>
    <xf borderId="0" fillId="0" fontId="7" numFmtId="168" xfId="0" applyFont="1" applyNumberFormat="1"/>
    <xf borderId="7" fillId="0" fontId="3" numFmtId="168" xfId="0" applyBorder="1" applyFont="1" applyNumberFormat="1"/>
    <xf quotePrefix="1" borderId="0" fillId="0" fontId="3" numFmtId="0" xfId="0" applyAlignment="1" applyFont="1">
      <alignment horizontal="center" shrinkToFit="0" vertical="center" wrapText="1"/>
    </xf>
    <xf borderId="8" fillId="0" fontId="3" numFmtId="0" xfId="0" applyBorder="1" applyFont="1"/>
    <xf borderId="9" fillId="0" fontId="3" numFmtId="0" xfId="0" applyBorder="1" applyFont="1"/>
    <xf borderId="9" fillId="0" fontId="3" numFmtId="168" xfId="0" applyBorder="1" applyFont="1" applyNumberFormat="1"/>
    <xf borderId="9" fillId="0" fontId="7" numFmtId="168" xfId="0" applyBorder="1" applyFont="1" applyNumberFormat="1"/>
    <xf borderId="10" fillId="0" fontId="3" numFmtId="168" xfId="0" applyBorder="1" applyFont="1" applyNumberFormat="1"/>
    <xf borderId="2" fillId="3" fontId="12" numFmtId="0" xfId="0" applyBorder="1" applyFont="1"/>
    <xf borderId="2" fillId="3" fontId="0" numFmtId="168" xfId="0" applyAlignment="1" applyBorder="1" applyFont="1" applyNumberFormat="1">
      <alignment horizontal="center" shrinkToFit="0" vertical="center" wrapText="1"/>
    </xf>
    <xf borderId="2" fillId="3" fontId="12" numFmtId="0" xfId="0" applyAlignment="1" applyBorder="1" applyFont="1">
      <alignment horizontal="left" shrinkToFit="0" vertical="center" wrapText="1"/>
    </xf>
    <xf borderId="2" fillId="3" fontId="13" numFmtId="0" xfId="0" applyAlignment="1" applyBorder="1" applyFont="1">
      <alignment horizontal="left" readingOrder="1" shrinkToFit="0" vertical="center" wrapText="1"/>
    </xf>
    <xf borderId="2" fillId="3" fontId="14" numFmtId="0" xfId="0" applyAlignment="1" applyBorder="1" applyFont="1">
      <alignment horizontal="left" readingOrder="1" shrinkToFit="0" vertical="center" wrapText="1"/>
    </xf>
    <xf borderId="2" fillId="3" fontId="12" numFmtId="0" xfId="0" applyAlignment="1" applyBorder="1" applyFont="1">
      <alignment horizontal="left"/>
    </xf>
    <xf borderId="2" fillId="3" fontId="12" numFmtId="0" xfId="0" applyAlignment="1" applyBorder="1" applyFont="1">
      <alignment horizontal="center"/>
    </xf>
    <xf borderId="2" fillId="3" fontId="0" numFmtId="0" xfId="0" applyAlignment="1" applyBorder="1" applyFont="1">
      <alignment horizontal="center"/>
    </xf>
    <xf borderId="2" fillId="3" fontId="12" numFmtId="164" xfId="0" applyBorder="1" applyFont="1" applyNumberFormat="1"/>
    <xf borderId="2" fillId="3" fontId="0" numFmtId="16" xfId="0" applyBorder="1" applyFont="1" applyNumberFormat="1"/>
    <xf borderId="1" fillId="4" fontId="6" numFmtId="164" xfId="0" applyBorder="1" applyFill="1" applyFont="1" applyNumberFormat="1"/>
    <xf borderId="0" fillId="0" fontId="6" numFmtId="0" xfId="0" applyAlignment="1" applyFont="1">
      <alignment horizontal="center"/>
    </xf>
    <xf borderId="1" fillId="5" fontId="6" numFmtId="164" xfId="0" applyBorder="1" applyFill="1" applyFont="1" applyNumberFormat="1"/>
    <xf borderId="1" fillId="2" fontId="1" numFmtId="17" xfId="0" applyAlignment="1" applyBorder="1" applyFont="1" applyNumberFormat="1">
      <alignment horizontal="center" shrinkToFit="0" vertical="center" wrapText="1"/>
    </xf>
    <xf borderId="9" fillId="0" fontId="7" numFmtId="168" xfId="0" applyAlignment="1" applyBorder="1" applyFont="1" applyNumberFormat="1">
      <alignment horizontal="center"/>
    </xf>
    <xf borderId="10" fillId="0" fontId="7" numFmtId="168" xfId="0" applyAlignment="1" applyBorder="1" applyFont="1" applyNumberFormat="1">
      <alignment horizontal="center"/>
    </xf>
    <xf borderId="10" fillId="0" fontId="7" numFmtId="168" xfId="0" applyBorder="1" applyFont="1" applyNumberFormat="1"/>
    <xf borderId="0" fillId="0" fontId="3" numFmtId="169" xfId="0" applyFont="1" applyNumberFormat="1"/>
    <xf borderId="1" fillId="6" fontId="3" numFmtId="168" xfId="0" applyAlignment="1" applyBorder="1" applyFill="1" applyFont="1" applyNumberFormat="1">
      <alignment horizontal="center" shrinkToFit="0" vertical="center" wrapText="1"/>
    </xf>
    <xf borderId="1" fillId="7" fontId="3" numFmtId="168" xfId="0" applyAlignment="1" applyBorder="1" applyFill="1" applyFont="1" applyNumberFormat="1">
      <alignment horizontal="center" shrinkToFit="0" vertical="center" wrapText="1"/>
    </xf>
    <xf borderId="1" fillId="6" fontId="3" numFmtId="168" xfId="0" applyBorder="1" applyFont="1" applyNumberFormat="1"/>
    <xf borderId="1" fillId="7" fontId="7" numFmtId="168" xfId="0" applyAlignment="1" applyBorder="1" applyFont="1" applyNumberFormat="1">
      <alignment horizontal="center" shrinkToFit="0" vertical="center" wrapText="1"/>
    </xf>
    <xf borderId="1" fillId="2" fontId="1" numFmtId="3" xfId="0" applyAlignment="1" applyBorder="1" applyFont="1" applyNumberFormat="1">
      <alignment horizontal="center"/>
    </xf>
    <xf borderId="1" fillId="2" fontId="1" numFmtId="0" xfId="0" applyBorder="1" applyFont="1"/>
    <xf borderId="1" fillId="5" fontId="3" numFmtId="0" xfId="0" applyBorder="1" applyFont="1"/>
    <xf borderId="1" fillId="5" fontId="3" numFmtId="3" xfId="0" applyBorder="1" applyFont="1" applyNumberFormat="1"/>
    <xf borderId="1" fillId="6" fontId="3" numFmtId="0" xfId="0" applyBorder="1" applyFont="1"/>
    <xf borderId="1" fillId="6" fontId="3" numFmtId="3" xfId="0" applyBorder="1" applyFont="1" applyNumberFormat="1"/>
    <xf borderId="1" fillId="6" fontId="3" numFmtId="0" xfId="0" applyAlignment="1" applyBorder="1" applyFont="1">
      <alignment horizontal="left" shrinkToFit="0" vertical="center" wrapText="1"/>
    </xf>
    <xf borderId="1" fillId="8" fontId="3" numFmtId="0" xfId="0" applyBorder="1" applyFill="1" applyFont="1"/>
    <xf borderId="1" fillId="8" fontId="3" numFmtId="3" xfId="0" applyBorder="1" applyFont="1" applyNumberFormat="1"/>
    <xf borderId="0" fillId="0" fontId="3" numFmtId="3" xfId="0" applyFont="1" applyNumberFormat="1"/>
    <xf borderId="0" fillId="0" fontId="3" numFmtId="164" xfId="0" applyFont="1" applyNumberFormat="1"/>
    <xf borderId="0" fillId="0" fontId="15" numFmtId="0" xfId="0" applyFont="1"/>
    <xf borderId="0" fillId="0" fontId="5" numFmtId="0" xfId="0" applyAlignment="1" applyFont="1">
      <alignment shrinkToFit="0" vertical="center" wrapText="1"/>
    </xf>
    <xf borderId="0" fillId="0" fontId="5" numFmtId="164" xfId="0" applyAlignment="1" applyFont="1" applyNumberForma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14" xfId="0" applyAlignment="1" applyFont="1" applyNumberFormat="1">
      <alignment shrinkToFit="0" vertical="center" wrapText="1"/>
    </xf>
    <xf borderId="0" fillId="0" fontId="6" numFmtId="164" xfId="0" applyAlignment="1" applyFont="1" applyNumberFormat="1">
      <alignment shrinkToFit="0" vertical="center" wrapText="1"/>
    </xf>
    <xf borderId="1" fillId="5" fontId="6" numFmtId="0" xfId="0" applyAlignment="1" applyBorder="1" applyFont="1">
      <alignment shrinkToFit="0" vertical="center" wrapText="1"/>
    </xf>
    <xf borderId="0" fillId="0" fontId="6" numFmtId="0" xfId="0" applyAlignment="1" applyFont="1">
      <alignment readingOrder="0" shrinkToFit="0" vertical="center" wrapText="1"/>
    </xf>
    <xf borderId="1" fillId="5" fontId="6" numFmtId="14" xfId="0" applyAlignment="1" applyBorder="1" applyFont="1" applyNumberFormat="1">
      <alignment shrinkToFit="0" vertical="center" wrapText="1"/>
    </xf>
    <xf borderId="0" fillId="0" fontId="6" numFmtId="17" xfId="0" applyAlignment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16.86"/>
    <col customWidth="1" min="4" max="4" width="10.86"/>
    <col customWidth="1" min="5" max="5" width="9.43"/>
    <col customWidth="1" min="6" max="6" width="34.71"/>
    <col customWidth="1" min="7" max="8" width="15.86"/>
    <col customWidth="1" min="9" max="19" width="14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>
        <v>46023.0</v>
      </c>
      <c r="I1" s="3">
        <v>46054.0</v>
      </c>
      <c r="J1" s="3">
        <v>46082.0</v>
      </c>
      <c r="K1" s="3">
        <v>46113.0</v>
      </c>
      <c r="L1" s="3">
        <v>46143.0</v>
      </c>
      <c r="M1" s="3">
        <v>46174.0</v>
      </c>
      <c r="N1" s="3">
        <v>46204.0</v>
      </c>
      <c r="O1" s="3">
        <v>46235.0</v>
      </c>
      <c r="P1" s="3">
        <v>46266.0</v>
      </c>
      <c r="Q1" s="3">
        <v>46296.0</v>
      </c>
      <c r="R1" s="3">
        <v>46327.0</v>
      </c>
      <c r="S1" s="3">
        <v>46357.0</v>
      </c>
    </row>
    <row r="2">
      <c r="A2" s="4" t="s">
        <v>7</v>
      </c>
      <c r="B2" s="4" t="s">
        <v>8</v>
      </c>
      <c r="C2" s="5" t="s">
        <v>9</v>
      </c>
      <c r="G2" s="6">
        <f t="shared" ref="G2:G6" si="1">SUM(H2:S2)</f>
        <v>0</v>
      </c>
      <c r="H2" s="7">
        <v>0.0</v>
      </c>
      <c r="I2" s="7">
        <v>0.0</v>
      </c>
      <c r="J2" s="7">
        <v>0.0</v>
      </c>
      <c r="K2" s="7">
        <v>0.0</v>
      </c>
      <c r="L2" s="7">
        <v>0.0</v>
      </c>
      <c r="M2" s="7">
        <v>0.0</v>
      </c>
      <c r="N2" s="7">
        <v>0.0</v>
      </c>
      <c r="O2" s="7">
        <v>0.0</v>
      </c>
      <c r="P2" s="7">
        <v>0.0</v>
      </c>
      <c r="Q2" s="7">
        <v>0.0</v>
      </c>
      <c r="R2" s="7">
        <v>0.0</v>
      </c>
      <c r="S2" s="7">
        <v>0.0</v>
      </c>
    </row>
    <row r="3">
      <c r="A3" s="4" t="s">
        <v>10</v>
      </c>
      <c r="B3" s="4" t="s">
        <v>11</v>
      </c>
      <c r="C3" s="5" t="s">
        <v>9</v>
      </c>
      <c r="G3" s="6">
        <f t="shared" si="1"/>
        <v>0</v>
      </c>
      <c r="H3" s="7">
        <v>0.0</v>
      </c>
      <c r="I3" s="7">
        <v>0.0</v>
      </c>
      <c r="J3" s="7">
        <v>0.0</v>
      </c>
      <c r="K3" s="7">
        <v>0.0</v>
      </c>
      <c r="L3" s="7">
        <v>0.0</v>
      </c>
      <c r="M3" s="7">
        <v>0.0</v>
      </c>
      <c r="N3" s="7">
        <v>0.0</v>
      </c>
      <c r="O3" s="7">
        <v>0.0</v>
      </c>
      <c r="P3" s="7">
        <v>0.0</v>
      </c>
      <c r="Q3" s="7">
        <v>0.0</v>
      </c>
      <c r="R3" s="7">
        <v>0.0</v>
      </c>
      <c r="S3" s="7">
        <v>0.0</v>
      </c>
    </row>
    <row r="4">
      <c r="A4" s="4" t="s">
        <v>12</v>
      </c>
      <c r="B4" s="4" t="s">
        <v>13</v>
      </c>
      <c r="C4" s="5" t="s">
        <v>9</v>
      </c>
      <c r="G4" s="6">
        <f t="shared" si="1"/>
        <v>1865718</v>
      </c>
      <c r="H4" s="7">
        <v>155476.5</v>
      </c>
      <c r="I4" s="7">
        <v>155476.5</v>
      </c>
      <c r="J4" s="7">
        <v>155476.5</v>
      </c>
      <c r="K4" s="7">
        <v>155476.5</v>
      </c>
      <c r="L4" s="7">
        <v>155476.5</v>
      </c>
      <c r="M4" s="7">
        <v>155476.5</v>
      </c>
      <c r="N4" s="7">
        <v>155476.5</v>
      </c>
      <c r="O4" s="7">
        <v>155476.5</v>
      </c>
      <c r="P4" s="7">
        <v>155476.5</v>
      </c>
      <c r="Q4" s="7">
        <v>155476.5</v>
      </c>
      <c r="R4" s="7">
        <v>155476.5</v>
      </c>
      <c r="S4" s="7">
        <v>155476.5</v>
      </c>
    </row>
    <row r="5">
      <c r="A5" s="4" t="s">
        <v>14</v>
      </c>
      <c r="B5" s="4" t="s">
        <v>15</v>
      </c>
      <c r="C5" s="5" t="s">
        <v>9</v>
      </c>
      <c r="G5" s="6">
        <f t="shared" si="1"/>
        <v>3955366</v>
      </c>
      <c r="H5" s="7">
        <f>329613.833333333</f>
        <v>329613.8333</v>
      </c>
      <c r="I5" s="7">
        <v>329613.8333333333</v>
      </c>
      <c r="J5" s="7">
        <v>329613.8333333333</v>
      </c>
      <c r="K5" s="7">
        <v>329613.8333333333</v>
      </c>
      <c r="L5" s="7">
        <v>329613.8333333333</v>
      </c>
      <c r="M5" s="7">
        <v>329613.8333333333</v>
      </c>
      <c r="N5" s="7">
        <v>329613.8333333333</v>
      </c>
      <c r="O5" s="7">
        <v>329613.8333333333</v>
      </c>
      <c r="P5" s="7">
        <v>329613.8333333333</v>
      </c>
      <c r="Q5" s="7">
        <v>329613.8333333333</v>
      </c>
      <c r="R5" s="7">
        <v>329613.8333333333</v>
      </c>
      <c r="S5" s="7">
        <v>329613.8333333333</v>
      </c>
    </row>
    <row r="6">
      <c r="A6" s="4" t="s">
        <v>16</v>
      </c>
      <c r="B6" s="8" t="s">
        <v>17</v>
      </c>
      <c r="C6" s="5" t="s">
        <v>9</v>
      </c>
      <c r="G6" s="6">
        <f t="shared" si="1"/>
        <v>100000</v>
      </c>
      <c r="H6" s="9">
        <v>56033.94</v>
      </c>
      <c r="I6" s="7">
        <v>0.0</v>
      </c>
      <c r="J6" s="7">
        <v>43966.06</v>
      </c>
      <c r="K6" s="7">
        <v>0.0</v>
      </c>
      <c r="L6" s="7">
        <v>0.0</v>
      </c>
      <c r="M6" s="7">
        <v>0.0</v>
      </c>
      <c r="N6" s="7">
        <v>0.0</v>
      </c>
      <c r="O6" s="7">
        <v>0.0</v>
      </c>
      <c r="P6" s="7">
        <v>0.0</v>
      </c>
      <c r="Q6" s="7">
        <v>0.0</v>
      </c>
      <c r="R6" s="7">
        <v>0.0</v>
      </c>
      <c r="S6" s="7">
        <v>0.0</v>
      </c>
    </row>
    <row r="7"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  <row r="8" ht="15.75" customHeight="1">
      <c r="A8" s="5" t="s">
        <v>14</v>
      </c>
      <c r="B8" s="4" t="s">
        <v>15</v>
      </c>
      <c r="C8" s="5" t="s">
        <v>18</v>
      </c>
      <c r="D8" s="4" t="s">
        <v>19</v>
      </c>
      <c r="E8" s="4" t="s">
        <v>20</v>
      </c>
      <c r="F8" s="5" t="s">
        <v>21</v>
      </c>
      <c r="G8" s="6">
        <f t="shared" ref="G8:G19" si="2">SUM(H8:S8)</f>
        <v>482760.96</v>
      </c>
      <c r="H8" s="7">
        <f>VLOOKUP($E8,'ORÇAMENTO 2026 v3'!$D:$X,8,0)</f>
        <v>40230.08</v>
      </c>
      <c r="I8" s="7">
        <f>VLOOKUP($E8,'ORÇAMENTO 2026 v3'!$D:$X,9,0)</f>
        <v>40230.08</v>
      </c>
      <c r="J8" s="7">
        <f>VLOOKUP($E8,'ORÇAMENTO 2026 v3'!$D:$X,10,0)</f>
        <v>40230.08</v>
      </c>
      <c r="K8" s="7">
        <f>VLOOKUP($E8,'ORÇAMENTO 2026 v3'!$D:$X,11,0)</f>
        <v>40230.08</v>
      </c>
      <c r="L8" s="7">
        <f>VLOOKUP($E8,'ORÇAMENTO 2026 v3'!$D:$X,12,0)</f>
        <v>40230.08</v>
      </c>
      <c r="M8" s="7">
        <f>VLOOKUP($E8,'ORÇAMENTO 2026 v3'!$D:$X,13,0)</f>
        <v>40230.08</v>
      </c>
      <c r="N8" s="7">
        <f>VLOOKUP($E8,'ORÇAMENTO 2026 v3'!$D:$X,14,0)</f>
        <v>40230.08</v>
      </c>
      <c r="O8" s="7">
        <f>VLOOKUP($E8,'ORÇAMENTO 2026 v3'!$D:$X,15,0)</f>
        <v>40230.08</v>
      </c>
      <c r="P8" s="7">
        <f>VLOOKUP($E8,'ORÇAMENTO 2026 v3'!$D:$X,16,0)</f>
        <v>40230.08</v>
      </c>
      <c r="Q8" s="7">
        <f>VLOOKUP($E8,'ORÇAMENTO 2026 v3'!$D:$X,17,0)</f>
        <v>40230.08</v>
      </c>
      <c r="R8" s="7">
        <f>VLOOKUP($E8,'ORÇAMENTO 2026 v3'!$D:$X,18,0)</f>
        <v>40230.08</v>
      </c>
      <c r="S8" s="7">
        <f>VLOOKUP($E8,'ORÇAMENTO 2026 v3'!$D:$X,19,0)</f>
        <v>40230.08</v>
      </c>
    </row>
    <row r="9" ht="15.75" customHeight="1">
      <c r="A9" s="5" t="s">
        <v>14</v>
      </c>
      <c r="B9" s="4" t="s">
        <v>15</v>
      </c>
      <c r="C9" s="5" t="s">
        <v>18</v>
      </c>
      <c r="D9" s="4" t="s">
        <v>19</v>
      </c>
      <c r="E9" s="4" t="s">
        <v>22</v>
      </c>
      <c r="F9" s="5" t="s">
        <v>23</v>
      </c>
      <c r="G9" s="6">
        <f t="shared" si="2"/>
        <v>451693.44</v>
      </c>
      <c r="H9" s="7">
        <f>VLOOKUP($E9,'ORÇAMENTO 2026 v3'!$D:$X,8,0)</f>
        <v>37641.12</v>
      </c>
      <c r="I9" s="7">
        <f>VLOOKUP($E9,'ORÇAMENTO 2026 v3'!$D:$X,9,0)</f>
        <v>37641.12</v>
      </c>
      <c r="J9" s="7">
        <f>VLOOKUP($E9,'ORÇAMENTO 2026 v3'!$D:$X,10,0)</f>
        <v>37641.12</v>
      </c>
      <c r="K9" s="7">
        <f>VLOOKUP($E9,'ORÇAMENTO 2026 v3'!$D:$X,11,0)</f>
        <v>37641.12</v>
      </c>
      <c r="L9" s="7">
        <f>VLOOKUP($E9,'ORÇAMENTO 2026 v3'!$D:$X,12,0)</f>
        <v>37641.12</v>
      </c>
      <c r="M9" s="7">
        <f>VLOOKUP($E9,'ORÇAMENTO 2026 v3'!$D:$X,13,0)</f>
        <v>37641.12</v>
      </c>
      <c r="N9" s="7">
        <f>VLOOKUP($E9,'ORÇAMENTO 2026 v3'!$D:$X,14,0)</f>
        <v>37641.12</v>
      </c>
      <c r="O9" s="7">
        <f>VLOOKUP($E9,'ORÇAMENTO 2026 v3'!$D:$X,15,0)</f>
        <v>37641.12</v>
      </c>
      <c r="P9" s="7">
        <f>VLOOKUP($E9,'ORÇAMENTO 2026 v3'!$D:$X,16,0)</f>
        <v>37641.12</v>
      </c>
      <c r="Q9" s="7">
        <f>VLOOKUP($E9,'ORÇAMENTO 2026 v3'!$D:$X,17,0)</f>
        <v>37641.12</v>
      </c>
      <c r="R9" s="7">
        <f>VLOOKUP($E9,'ORÇAMENTO 2026 v3'!$D:$X,18,0)</f>
        <v>37641.12</v>
      </c>
      <c r="S9" s="7">
        <f>VLOOKUP($E9,'ORÇAMENTO 2026 v3'!$D:$X,19,0)</f>
        <v>37641.12</v>
      </c>
    </row>
    <row r="10" ht="15.75" customHeight="1">
      <c r="A10" s="5" t="s">
        <v>14</v>
      </c>
      <c r="B10" s="4" t="s">
        <v>15</v>
      </c>
      <c r="C10" s="5" t="s">
        <v>18</v>
      </c>
      <c r="D10" s="4" t="s">
        <v>19</v>
      </c>
      <c r="E10" s="5" t="s">
        <v>24</v>
      </c>
      <c r="F10" s="5" t="s">
        <v>25</v>
      </c>
      <c r="G10" s="6">
        <f t="shared" si="2"/>
        <v>451693.44</v>
      </c>
      <c r="H10" s="7">
        <f>VLOOKUP($E10,'ORÇAMENTO 2026 v3'!$D:$X,8,0)</f>
        <v>37641.12</v>
      </c>
      <c r="I10" s="7">
        <f>VLOOKUP($E10,'ORÇAMENTO 2026 v3'!$D:$X,9,0)</f>
        <v>37641.12</v>
      </c>
      <c r="J10" s="7">
        <f>VLOOKUP($E10,'ORÇAMENTO 2026 v3'!$D:$X,10,0)</f>
        <v>37641.12</v>
      </c>
      <c r="K10" s="7">
        <f>VLOOKUP($E10,'ORÇAMENTO 2026 v3'!$D:$X,11,0)</f>
        <v>37641.12</v>
      </c>
      <c r="L10" s="7">
        <f>VLOOKUP($E10,'ORÇAMENTO 2026 v3'!$D:$X,12,0)</f>
        <v>37641.12</v>
      </c>
      <c r="M10" s="7">
        <f>VLOOKUP($E10,'ORÇAMENTO 2026 v3'!$D:$X,13,0)</f>
        <v>37641.12</v>
      </c>
      <c r="N10" s="7">
        <f>VLOOKUP($E10,'ORÇAMENTO 2026 v3'!$D:$X,14,0)</f>
        <v>37641.12</v>
      </c>
      <c r="O10" s="7">
        <f>VLOOKUP($E10,'ORÇAMENTO 2026 v3'!$D:$X,15,0)</f>
        <v>37641.12</v>
      </c>
      <c r="P10" s="7">
        <f>VLOOKUP($E10,'ORÇAMENTO 2026 v3'!$D:$X,16,0)</f>
        <v>37641.12</v>
      </c>
      <c r="Q10" s="7">
        <f>VLOOKUP($E10,'ORÇAMENTO 2026 v3'!$D:$X,17,0)</f>
        <v>37641.12</v>
      </c>
      <c r="R10" s="7">
        <f>VLOOKUP($E10,'ORÇAMENTO 2026 v3'!$D:$X,18,0)</f>
        <v>37641.12</v>
      </c>
      <c r="S10" s="7">
        <f>VLOOKUP($E10,'ORÇAMENTO 2026 v3'!$D:$X,19,0)</f>
        <v>37641.12</v>
      </c>
    </row>
    <row r="11" ht="15.75" customHeight="1">
      <c r="A11" s="5" t="s">
        <v>14</v>
      </c>
      <c r="B11" s="4" t="s">
        <v>15</v>
      </c>
      <c r="C11" s="5" t="s">
        <v>18</v>
      </c>
      <c r="D11" s="4" t="s">
        <v>19</v>
      </c>
      <c r="E11" s="5" t="s">
        <v>26</v>
      </c>
      <c r="F11" s="5" t="s">
        <v>27</v>
      </c>
      <c r="G11" s="6">
        <f t="shared" si="2"/>
        <v>451693.44</v>
      </c>
      <c r="H11" s="7">
        <f>VLOOKUP($E11,'ORÇAMENTO 2026 v3'!$D:$X,8,0)</f>
        <v>37641.12</v>
      </c>
      <c r="I11" s="7">
        <f>VLOOKUP($E11,'ORÇAMENTO 2026 v3'!$D:$X,9,0)</f>
        <v>37641.12</v>
      </c>
      <c r="J11" s="7">
        <f>VLOOKUP($E11,'ORÇAMENTO 2026 v3'!$D:$X,10,0)</f>
        <v>37641.12</v>
      </c>
      <c r="K11" s="7">
        <f>VLOOKUP($E11,'ORÇAMENTO 2026 v3'!$D:$X,11,0)</f>
        <v>37641.12</v>
      </c>
      <c r="L11" s="7">
        <f>VLOOKUP($E11,'ORÇAMENTO 2026 v3'!$D:$X,12,0)</f>
        <v>37641.12</v>
      </c>
      <c r="M11" s="7">
        <f>VLOOKUP($E11,'ORÇAMENTO 2026 v3'!$D:$X,13,0)</f>
        <v>37641.12</v>
      </c>
      <c r="N11" s="7">
        <f>VLOOKUP($E11,'ORÇAMENTO 2026 v3'!$D:$X,14,0)</f>
        <v>37641.12</v>
      </c>
      <c r="O11" s="7">
        <f>VLOOKUP($E11,'ORÇAMENTO 2026 v3'!$D:$X,15,0)</f>
        <v>37641.12</v>
      </c>
      <c r="P11" s="7">
        <f>VLOOKUP($E11,'ORÇAMENTO 2026 v3'!$D:$X,16,0)</f>
        <v>37641.12</v>
      </c>
      <c r="Q11" s="7">
        <f>VLOOKUP($E11,'ORÇAMENTO 2026 v3'!$D:$X,17,0)</f>
        <v>37641.12</v>
      </c>
      <c r="R11" s="7">
        <f>VLOOKUP($E11,'ORÇAMENTO 2026 v3'!$D:$X,18,0)</f>
        <v>37641.12</v>
      </c>
      <c r="S11" s="7">
        <f>VLOOKUP($E11,'ORÇAMENTO 2026 v3'!$D:$X,19,0)</f>
        <v>37641.12</v>
      </c>
    </row>
    <row r="12" ht="15.75" customHeight="1">
      <c r="A12" s="5" t="s">
        <v>14</v>
      </c>
      <c r="B12" s="4" t="s">
        <v>15</v>
      </c>
      <c r="C12" s="5" t="s">
        <v>18</v>
      </c>
      <c r="D12" s="5" t="s">
        <v>28</v>
      </c>
      <c r="E12" s="5" t="s">
        <v>29</v>
      </c>
      <c r="F12" s="5" t="s">
        <v>30</v>
      </c>
      <c r="G12" s="6">
        <f t="shared" si="2"/>
        <v>633093.12</v>
      </c>
      <c r="H12" s="7">
        <f>VLOOKUP($E12,'ORÇAMENTO 2026 v3'!$D:$X,8,0)</f>
        <v>52757.76</v>
      </c>
      <c r="I12" s="7">
        <f>VLOOKUP($E12,'ORÇAMENTO 2026 v3'!$D:$X,9,0)</f>
        <v>52757.76</v>
      </c>
      <c r="J12" s="7">
        <f>VLOOKUP($E12,'ORÇAMENTO 2026 v3'!$D:$X,10,0)</f>
        <v>52757.76</v>
      </c>
      <c r="K12" s="7">
        <f>VLOOKUP($E12,'ORÇAMENTO 2026 v3'!$D:$X,11,0)</f>
        <v>52757.76</v>
      </c>
      <c r="L12" s="7">
        <f>VLOOKUP($E12,'ORÇAMENTO 2026 v3'!$D:$X,12,0)</f>
        <v>52757.76</v>
      </c>
      <c r="M12" s="7">
        <f>VLOOKUP($E12,'ORÇAMENTO 2026 v3'!$D:$X,13,0)</f>
        <v>52757.76</v>
      </c>
      <c r="N12" s="7">
        <f>VLOOKUP($E12,'ORÇAMENTO 2026 v3'!$D:$X,14,0)</f>
        <v>52757.76</v>
      </c>
      <c r="O12" s="7">
        <f>VLOOKUP($E12,'ORÇAMENTO 2026 v3'!$D:$X,15,0)</f>
        <v>52757.76</v>
      </c>
      <c r="P12" s="7">
        <f>VLOOKUP($E12,'ORÇAMENTO 2026 v3'!$D:$X,16,0)</f>
        <v>52757.76</v>
      </c>
      <c r="Q12" s="7">
        <f>VLOOKUP($E12,'ORÇAMENTO 2026 v3'!$D:$X,17,0)</f>
        <v>52757.76</v>
      </c>
      <c r="R12" s="7">
        <f>VLOOKUP($E12,'ORÇAMENTO 2026 v3'!$D:$X,18,0)</f>
        <v>52757.76</v>
      </c>
      <c r="S12" s="7">
        <f>VLOOKUP($E12,'ORÇAMENTO 2026 v3'!$D:$X,19,0)</f>
        <v>52757.76</v>
      </c>
    </row>
    <row r="13" ht="15.75" customHeight="1">
      <c r="A13" s="5" t="s">
        <v>14</v>
      </c>
      <c r="B13" s="4" t="s">
        <v>15</v>
      </c>
      <c r="C13" s="5" t="s">
        <v>18</v>
      </c>
      <c r="D13" s="5" t="s">
        <v>28</v>
      </c>
      <c r="E13" s="5" t="s">
        <v>31</v>
      </c>
      <c r="F13" s="5" t="s">
        <v>32</v>
      </c>
      <c r="G13" s="6">
        <f t="shared" si="2"/>
        <v>611107.2</v>
      </c>
      <c r="H13" s="7">
        <f>VLOOKUP($E13,'ORÇAMENTO 2026 v3'!$D:$X,8,0)</f>
        <v>50925.6</v>
      </c>
      <c r="I13" s="7">
        <f>VLOOKUP($E13,'ORÇAMENTO 2026 v3'!$D:$X,9,0)</f>
        <v>50925.6</v>
      </c>
      <c r="J13" s="7">
        <f>VLOOKUP($E13,'ORÇAMENTO 2026 v3'!$D:$X,10,0)</f>
        <v>50925.6</v>
      </c>
      <c r="K13" s="7">
        <f>VLOOKUP($E13,'ORÇAMENTO 2026 v3'!$D:$X,11,0)</f>
        <v>50925.6</v>
      </c>
      <c r="L13" s="7">
        <f>VLOOKUP($E13,'ORÇAMENTO 2026 v3'!$D:$X,12,0)</f>
        <v>50925.6</v>
      </c>
      <c r="M13" s="7">
        <f>VLOOKUP($E13,'ORÇAMENTO 2026 v3'!$D:$X,13,0)</f>
        <v>50925.6</v>
      </c>
      <c r="N13" s="7">
        <f>VLOOKUP($E13,'ORÇAMENTO 2026 v3'!$D:$X,14,0)</f>
        <v>50925.6</v>
      </c>
      <c r="O13" s="7">
        <f>VLOOKUP($E13,'ORÇAMENTO 2026 v3'!$D:$X,15,0)</f>
        <v>50925.6</v>
      </c>
      <c r="P13" s="7">
        <f>VLOOKUP($E13,'ORÇAMENTO 2026 v3'!$D:$X,16,0)</f>
        <v>50925.6</v>
      </c>
      <c r="Q13" s="7">
        <f>VLOOKUP($E13,'ORÇAMENTO 2026 v3'!$D:$X,17,0)</f>
        <v>50925.6</v>
      </c>
      <c r="R13" s="7">
        <f>VLOOKUP($E13,'ORÇAMENTO 2026 v3'!$D:$X,18,0)</f>
        <v>50925.6</v>
      </c>
      <c r="S13" s="7">
        <f>VLOOKUP($E13,'ORÇAMENTO 2026 v3'!$D:$X,19,0)</f>
        <v>50925.6</v>
      </c>
    </row>
    <row r="14" ht="15.75" customHeight="1">
      <c r="A14" s="5" t="s">
        <v>14</v>
      </c>
      <c r="B14" s="4" t="s">
        <v>15</v>
      </c>
      <c r="C14" s="5" t="s">
        <v>18</v>
      </c>
      <c r="D14" s="5" t="s">
        <v>28</v>
      </c>
      <c r="E14" s="5" t="s">
        <v>33</v>
      </c>
      <c r="F14" s="5" t="s">
        <v>34</v>
      </c>
      <c r="G14" s="6">
        <f t="shared" si="2"/>
        <v>427933.44</v>
      </c>
      <c r="H14" s="7">
        <f>VLOOKUP($E14,'ORÇAMENTO 2026 v3'!$D:$X,8,0)</f>
        <v>35661.12</v>
      </c>
      <c r="I14" s="7">
        <f>VLOOKUP($E14,'ORÇAMENTO 2026 v3'!$D:$X,9,0)</f>
        <v>35661.12</v>
      </c>
      <c r="J14" s="7">
        <f>VLOOKUP($E14,'ORÇAMENTO 2026 v3'!$D:$X,10,0)</f>
        <v>35661.12</v>
      </c>
      <c r="K14" s="7">
        <f>VLOOKUP($E14,'ORÇAMENTO 2026 v3'!$D:$X,11,0)</f>
        <v>35661.12</v>
      </c>
      <c r="L14" s="7">
        <f>VLOOKUP($E14,'ORÇAMENTO 2026 v3'!$D:$X,12,0)</f>
        <v>35661.12</v>
      </c>
      <c r="M14" s="7">
        <f>VLOOKUP($E14,'ORÇAMENTO 2026 v3'!$D:$X,13,0)</f>
        <v>35661.12</v>
      </c>
      <c r="N14" s="7">
        <f>VLOOKUP($E14,'ORÇAMENTO 2026 v3'!$D:$X,14,0)</f>
        <v>35661.12</v>
      </c>
      <c r="O14" s="7">
        <f>VLOOKUP($E14,'ORÇAMENTO 2026 v3'!$D:$X,15,0)</f>
        <v>35661.12</v>
      </c>
      <c r="P14" s="7">
        <f>VLOOKUP($E14,'ORÇAMENTO 2026 v3'!$D:$X,16,0)</f>
        <v>35661.12</v>
      </c>
      <c r="Q14" s="7">
        <f>VLOOKUP($E14,'ORÇAMENTO 2026 v3'!$D:$X,17,0)</f>
        <v>35661.12</v>
      </c>
      <c r="R14" s="7">
        <f>VLOOKUP($E14,'ORÇAMENTO 2026 v3'!$D:$X,18,0)</f>
        <v>35661.12</v>
      </c>
      <c r="S14" s="7">
        <f>VLOOKUP($E14,'ORÇAMENTO 2026 v3'!$D:$X,19,0)</f>
        <v>35661.12</v>
      </c>
    </row>
    <row r="15" ht="15.75" customHeight="1">
      <c r="A15" s="5" t="s">
        <v>14</v>
      </c>
      <c r="B15" s="4" t="s">
        <v>15</v>
      </c>
      <c r="C15" s="5" t="s">
        <v>18</v>
      </c>
      <c r="D15" s="5" t="s">
        <v>28</v>
      </c>
      <c r="E15" s="4" t="s">
        <v>35</v>
      </c>
      <c r="F15" s="5" t="s">
        <v>36</v>
      </c>
      <c r="G15" s="6">
        <f t="shared" si="2"/>
        <v>409178.88</v>
      </c>
      <c r="H15" s="7">
        <f>VLOOKUP($E15,'ORÇAMENTO 2026 v3'!$D:$X,8,0)</f>
        <v>34098.24</v>
      </c>
      <c r="I15" s="7">
        <f>VLOOKUP($E15,'ORÇAMENTO 2026 v3'!$D:$X,9,0)</f>
        <v>34098.24</v>
      </c>
      <c r="J15" s="7">
        <f>VLOOKUP($E15,'ORÇAMENTO 2026 v3'!$D:$X,10,0)</f>
        <v>34098.24</v>
      </c>
      <c r="K15" s="7">
        <f>VLOOKUP($E15,'ORÇAMENTO 2026 v3'!$D:$X,11,0)</f>
        <v>34098.24</v>
      </c>
      <c r="L15" s="7">
        <f>VLOOKUP($E15,'ORÇAMENTO 2026 v3'!$D:$X,12,0)</f>
        <v>34098.24</v>
      </c>
      <c r="M15" s="7">
        <f>VLOOKUP($E15,'ORÇAMENTO 2026 v3'!$D:$X,13,0)</f>
        <v>34098.24</v>
      </c>
      <c r="N15" s="7">
        <f>VLOOKUP($E15,'ORÇAMENTO 2026 v3'!$D:$X,14,0)</f>
        <v>34098.24</v>
      </c>
      <c r="O15" s="7">
        <f>VLOOKUP($E15,'ORÇAMENTO 2026 v3'!$D:$X,15,0)</f>
        <v>34098.24</v>
      </c>
      <c r="P15" s="7">
        <f>VLOOKUP($E15,'ORÇAMENTO 2026 v3'!$D:$X,16,0)</f>
        <v>34098.24</v>
      </c>
      <c r="Q15" s="7">
        <f>VLOOKUP($E15,'ORÇAMENTO 2026 v3'!$D:$X,17,0)</f>
        <v>34098.24</v>
      </c>
      <c r="R15" s="7">
        <f>VLOOKUP($E15,'ORÇAMENTO 2026 v3'!$D:$X,18,0)</f>
        <v>34098.24</v>
      </c>
      <c r="S15" s="7">
        <f>VLOOKUP($E15,'ORÇAMENTO 2026 v3'!$D:$X,19,0)</f>
        <v>34098.24</v>
      </c>
    </row>
    <row r="16" ht="15.75" customHeight="1">
      <c r="A16" s="5" t="s">
        <v>12</v>
      </c>
      <c r="B16" s="4" t="s">
        <v>13</v>
      </c>
      <c r="C16" s="5" t="s">
        <v>18</v>
      </c>
      <c r="D16" s="4" t="s">
        <v>19</v>
      </c>
      <c r="E16" s="5" t="s">
        <v>37</v>
      </c>
      <c r="F16" s="5" t="s">
        <v>38</v>
      </c>
      <c r="G16" s="6">
        <f t="shared" si="2"/>
        <v>451693.44</v>
      </c>
      <c r="H16" s="7">
        <f>VLOOKUP($E16,'ORÇAMENTO 2026 v3'!$D:$X,8,0)</f>
        <v>37641.12</v>
      </c>
      <c r="I16" s="7">
        <f>VLOOKUP($E16,'ORÇAMENTO 2026 v3'!$D:$X,9,0)</f>
        <v>37641.12</v>
      </c>
      <c r="J16" s="7">
        <f>VLOOKUP($E16,'ORÇAMENTO 2026 v3'!$D:$X,10,0)</f>
        <v>37641.12</v>
      </c>
      <c r="K16" s="7">
        <f>VLOOKUP($E16,'ORÇAMENTO 2026 v3'!$D:$X,11,0)</f>
        <v>37641.12</v>
      </c>
      <c r="L16" s="7">
        <f>VLOOKUP($E16,'ORÇAMENTO 2026 v3'!$D:$X,12,0)</f>
        <v>37641.12</v>
      </c>
      <c r="M16" s="7">
        <f>VLOOKUP($E16,'ORÇAMENTO 2026 v3'!$D:$X,13,0)</f>
        <v>37641.12</v>
      </c>
      <c r="N16" s="7">
        <f>VLOOKUP($E16,'ORÇAMENTO 2026 v3'!$D:$X,14,0)</f>
        <v>37641.12</v>
      </c>
      <c r="O16" s="7">
        <f>VLOOKUP($E16,'ORÇAMENTO 2026 v3'!$D:$X,15,0)</f>
        <v>37641.12</v>
      </c>
      <c r="P16" s="7">
        <f>VLOOKUP($E16,'ORÇAMENTO 2026 v3'!$D:$X,16,0)</f>
        <v>37641.12</v>
      </c>
      <c r="Q16" s="7">
        <f>VLOOKUP($E16,'ORÇAMENTO 2026 v3'!$D:$X,17,0)</f>
        <v>37641.12</v>
      </c>
      <c r="R16" s="7">
        <f>VLOOKUP($E16,'ORÇAMENTO 2026 v3'!$D:$X,18,0)</f>
        <v>37641.12</v>
      </c>
      <c r="S16" s="7">
        <f>VLOOKUP($E16,'ORÇAMENTO 2026 v3'!$D:$X,19,0)</f>
        <v>37641.12</v>
      </c>
    </row>
    <row r="17" ht="15.75" customHeight="1">
      <c r="A17" s="5" t="s">
        <v>12</v>
      </c>
      <c r="B17" s="4" t="s">
        <v>13</v>
      </c>
      <c r="C17" s="5" t="s">
        <v>18</v>
      </c>
      <c r="D17" s="4" t="s">
        <v>19</v>
      </c>
      <c r="E17" s="5" t="s">
        <v>39</v>
      </c>
      <c r="F17" s="5" t="s">
        <v>40</v>
      </c>
      <c r="G17" s="6">
        <f t="shared" si="2"/>
        <v>451693.44</v>
      </c>
      <c r="H17" s="7">
        <f>VLOOKUP($E17,'ORÇAMENTO 2026 v3'!$D:$X,8,0)</f>
        <v>37641.12</v>
      </c>
      <c r="I17" s="7">
        <f>VLOOKUP($E17,'ORÇAMENTO 2026 v3'!$D:$X,9,0)</f>
        <v>37641.12</v>
      </c>
      <c r="J17" s="7">
        <f>VLOOKUP($E17,'ORÇAMENTO 2026 v3'!$D:$X,10,0)</f>
        <v>37641.12</v>
      </c>
      <c r="K17" s="7">
        <f>VLOOKUP($E17,'ORÇAMENTO 2026 v3'!$D:$X,11,0)</f>
        <v>37641.12</v>
      </c>
      <c r="L17" s="7">
        <f>VLOOKUP($E17,'ORÇAMENTO 2026 v3'!$D:$X,12,0)</f>
        <v>37641.12</v>
      </c>
      <c r="M17" s="7">
        <f>VLOOKUP($E17,'ORÇAMENTO 2026 v3'!$D:$X,13,0)</f>
        <v>37641.12</v>
      </c>
      <c r="N17" s="7">
        <f>VLOOKUP($E17,'ORÇAMENTO 2026 v3'!$D:$X,14,0)</f>
        <v>37641.12</v>
      </c>
      <c r="O17" s="7">
        <f>VLOOKUP($E17,'ORÇAMENTO 2026 v3'!$D:$X,15,0)</f>
        <v>37641.12</v>
      </c>
      <c r="P17" s="7">
        <f>VLOOKUP($E17,'ORÇAMENTO 2026 v3'!$D:$X,16,0)</f>
        <v>37641.12</v>
      </c>
      <c r="Q17" s="7">
        <f>VLOOKUP($E17,'ORÇAMENTO 2026 v3'!$D:$X,17,0)</f>
        <v>37641.12</v>
      </c>
      <c r="R17" s="7">
        <f>VLOOKUP($E17,'ORÇAMENTO 2026 v3'!$D:$X,18,0)</f>
        <v>37641.12</v>
      </c>
      <c r="S17" s="7">
        <f>VLOOKUP($E17,'ORÇAMENTO 2026 v3'!$D:$X,19,0)</f>
        <v>37641.12</v>
      </c>
    </row>
    <row r="18" ht="15.75" customHeight="1">
      <c r="A18" s="5" t="s">
        <v>12</v>
      </c>
      <c r="B18" s="4" t="s">
        <v>13</v>
      </c>
      <c r="C18" s="5" t="s">
        <v>18</v>
      </c>
      <c r="D18" s="4" t="s">
        <v>19</v>
      </c>
      <c r="E18" s="5" t="s">
        <v>41</v>
      </c>
      <c r="F18" s="5" t="s">
        <v>42</v>
      </c>
      <c r="G18" s="6">
        <f t="shared" si="2"/>
        <v>404152.32</v>
      </c>
      <c r="H18" s="7">
        <f>VLOOKUP($E18,'ORÇAMENTO 2026 v3'!$D:$X,8,0)</f>
        <v>33679.36</v>
      </c>
      <c r="I18" s="7">
        <f>VLOOKUP($E18,'ORÇAMENTO 2026 v3'!$D:$X,9,0)</f>
        <v>33679.36</v>
      </c>
      <c r="J18" s="7">
        <f>VLOOKUP($E18,'ORÇAMENTO 2026 v3'!$D:$X,10,0)</f>
        <v>33679.36</v>
      </c>
      <c r="K18" s="7">
        <f>VLOOKUP($E18,'ORÇAMENTO 2026 v3'!$D:$X,11,0)</f>
        <v>33679.36</v>
      </c>
      <c r="L18" s="7">
        <f>VLOOKUP($E18,'ORÇAMENTO 2026 v3'!$D:$X,12,0)</f>
        <v>33679.36</v>
      </c>
      <c r="M18" s="7">
        <f>VLOOKUP($E18,'ORÇAMENTO 2026 v3'!$D:$X,13,0)</f>
        <v>33679.36</v>
      </c>
      <c r="N18" s="7">
        <f>VLOOKUP($E18,'ORÇAMENTO 2026 v3'!$D:$X,14,0)</f>
        <v>33679.36</v>
      </c>
      <c r="O18" s="7">
        <f>VLOOKUP($E18,'ORÇAMENTO 2026 v3'!$D:$X,15,0)</f>
        <v>33679.36</v>
      </c>
      <c r="P18" s="7">
        <f>VLOOKUP($E18,'ORÇAMENTO 2026 v3'!$D:$X,16,0)</f>
        <v>33679.36</v>
      </c>
      <c r="Q18" s="7">
        <f>VLOOKUP($E18,'ORÇAMENTO 2026 v3'!$D:$X,17,0)</f>
        <v>33679.36</v>
      </c>
      <c r="R18" s="7">
        <f>VLOOKUP($E18,'ORÇAMENTO 2026 v3'!$D:$X,18,0)</f>
        <v>33679.36</v>
      </c>
      <c r="S18" s="7">
        <f>VLOOKUP($E18,'ORÇAMENTO 2026 v3'!$D:$X,19,0)</f>
        <v>33679.36</v>
      </c>
    </row>
    <row r="19" ht="15.75" customHeight="1">
      <c r="A19" s="5" t="s">
        <v>12</v>
      </c>
      <c r="B19" s="4" t="s">
        <v>13</v>
      </c>
      <c r="C19" s="5" t="s">
        <v>18</v>
      </c>
      <c r="D19" s="4" t="s">
        <v>19</v>
      </c>
      <c r="E19" s="5" t="s">
        <v>43</v>
      </c>
      <c r="F19" s="5" t="s">
        <v>44</v>
      </c>
      <c r="G19" s="6">
        <f t="shared" si="2"/>
        <v>480000</v>
      </c>
      <c r="H19" s="7">
        <f>VLOOKUP($E19,'ORÇAMENTO 2026 v3'!$D:$X,8,0)</f>
        <v>40000</v>
      </c>
      <c r="I19" s="7">
        <f>VLOOKUP($E19,'ORÇAMENTO 2026 v3'!$D:$X,9,0)</f>
        <v>40000</v>
      </c>
      <c r="J19" s="7">
        <f>VLOOKUP($E19,'ORÇAMENTO 2026 v3'!$D:$X,10,0)</f>
        <v>40000</v>
      </c>
      <c r="K19" s="7">
        <f>VLOOKUP($E19,'ORÇAMENTO 2026 v3'!$D:$X,11,0)</f>
        <v>40000</v>
      </c>
      <c r="L19" s="7">
        <f>VLOOKUP($E19,'ORÇAMENTO 2026 v3'!$D:$X,12,0)</f>
        <v>40000</v>
      </c>
      <c r="M19" s="7">
        <f>VLOOKUP($E19,'ORÇAMENTO 2026 v3'!$D:$X,13,0)</f>
        <v>40000</v>
      </c>
      <c r="N19" s="7">
        <f>VLOOKUP($E19,'ORÇAMENTO 2026 v3'!$D:$X,14,0)</f>
        <v>40000</v>
      </c>
      <c r="O19" s="7">
        <f>VLOOKUP($E19,'ORÇAMENTO 2026 v3'!$D:$X,15,0)</f>
        <v>40000</v>
      </c>
      <c r="P19" s="7">
        <f>VLOOKUP($E19,'ORÇAMENTO 2026 v3'!$D:$X,16,0)</f>
        <v>40000</v>
      </c>
      <c r="Q19" s="7">
        <f>VLOOKUP($E19,'ORÇAMENTO 2026 v3'!$D:$X,17,0)</f>
        <v>40000</v>
      </c>
      <c r="R19" s="7">
        <f>VLOOKUP($E19,'ORÇAMENTO 2026 v3'!$D:$X,18,0)</f>
        <v>40000</v>
      </c>
      <c r="S19" s="7">
        <f>VLOOKUP($E19,'ORÇAMENTO 2026 v3'!$D:$X,19,0)</f>
        <v>40000</v>
      </c>
    </row>
    <row r="20"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 ht="15.75" customHeight="1">
      <c r="A21" s="4" t="s">
        <v>7</v>
      </c>
      <c r="B21" s="4" t="s">
        <v>8</v>
      </c>
      <c r="C21" s="5" t="s">
        <v>45</v>
      </c>
      <c r="G21" s="6">
        <f t="shared" ref="G21:G25" si="3">SUM(H21:S21)</f>
        <v>252716.37</v>
      </c>
      <c r="H21" s="7">
        <f>SUMIFS(NOTA_FISCAL_ANALITICO!$G:$G,NOTA_FISCAL_ANALITICO!$D:$D,CONTROLE!H$1,NOTA_FISCAL_ANALITICO!$J:$J,CONTROLE!$A21)</f>
        <v>252716.37</v>
      </c>
      <c r="I21" s="7">
        <f>SUMIFS(NOTA_FISCAL_ANALITICO!$G:$G,NOTA_FISCAL_ANALITICO!$D:$D,CONTROLE!I$1,NOTA_FISCAL_ANALITICO!$J:$J,CONTROLE!$A21)</f>
        <v>0</v>
      </c>
      <c r="J21" s="7">
        <f>SUMIFS(NOTA_FISCAL_ANALITICO!$G:$G,NOTA_FISCAL_ANALITICO!$D:$D,CONTROLE!J$1,NOTA_FISCAL_ANALITICO!$J:$J,CONTROLE!$A21)</f>
        <v>0</v>
      </c>
      <c r="K21" s="7">
        <f>SUMIFS(NOTA_FISCAL_ANALITICO!$G:$G,NOTA_FISCAL_ANALITICO!$D:$D,CONTROLE!K$1,NOTA_FISCAL_ANALITICO!$J:$J,CONTROLE!$A21)</f>
        <v>0</v>
      </c>
      <c r="L21" s="7">
        <f>SUMIFS(NOTA_FISCAL_ANALITICO!$G:$G,NOTA_FISCAL_ANALITICO!$D:$D,CONTROLE!L$1,NOTA_FISCAL_ANALITICO!$J:$J,CONTROLE!$A21)</f>
        <v>0</v>
      </c>
      <c r="M21" s="7">
        <f>SUMIFS(NOTA_FISCAL_ANALITICO!$G:$G,NOTA_FISCAL_ANALITICO!$D:$D,CONTROLE!M$1,NOTA_FISCAL_ANALITICO!$J:$J,CONTROLE!$A21)</f>
        <v>0</v>
      </c>
      <c r="N21" s="7">
        <f>SUMIFS(NOTA_FISCAL_ANALITICO!$G:$G,NOTA_FISCAL_ANALITICO!$D:$D,CONTROLE!N$1,NOTA_FISCAL_ANALITICO!$J:$J,CONTROLE!$A21)</f>
        <v>0</v>
      </c>
      <c r="O21" s="7">
        <f>SUMIFS(NOTA_FISCAL_ANALITICO!$G:$G,NOTA_FISCAL_ANALITICO!$D:$D,CONTROLE!O$1,NOTA_FISCAL_ANALITICO!$J:$J,CONTROLE!$A21)</f>
        <v>0</v>
      </c>
      <c r="P21" s="7">
        <f>SUMIFS(NOTA_FISCAL_ANALITICO!$G:$G,NOTA_FISCAL_ANALITICO!$D:$D,CONTROLE!P$1,NOTA_FISCAL_ANALITICO!$J:$J,CONTROLE!$A21)</f>
        <v>0</v>
      </c>
      <c r="Q21" s="7">
        <f>SUMIFS(NOTA_FISCAL_ANALITICO!$G:$G,NOTA_FISCAL_ANALITICO!$D:$D,CONTROLE!Q$1,NOTA_FISCAL_ANALITICO!$J:$J,CONTROLE!$A21)</f>
        <v>0</v>
      </c>
      <c r="R21" s="7">
        <f>SUMIFS(NOTA_FISCAL_ANALITICO!$G:$G,NOTA_FISCAL_ANALITICO!$D:$D,CONTROLE!R$1,NOTA_FISCAL_ANALITICO!$J:$J,CONTROLE!$A21)</f>
        <v>0</v>
      </c>
      <c r="S21" s="7">
        <f>SUMIFS(NOTA_FISCAL_ANALITICO!$G:$G,NOTA_FISCAL_ANALITICO!$D:$D,CONTROLE!S$1,NOTA_FISCAL_ANALITICO!$J:$J,CONTROLE!$A21)</f>
        <v>0</v>
      </c>
    </row>
    <row r="22" ht="15.75" customHeight="1">
      <c r="A22" s="4" t="s">
        <v>10</v>
      </c>
      <c r="B22" s="4" t="s">
        <v>11</v>
      </c>
      <c r="C22" s="5" t="s">
        <v>45</v>
      </c>
      <c r="G22" s="6">
        <f t="shared" si="3"/>
        <v>0</v>
      </c>
      <c r="H22" s="7">
        <f>SUMIFS(NOTA_FISCAL_ANALITICO!$G:$G,NOTA_FISCAL_ANALITICO!$D:$D,CONTROLE!H$1,NOTA_FISCAL_ANALITICO!$J:$J,CONTROLE!$A22)</f>
        <v>0</v>
      </c>
      <c r="I22" s="7">
        <f>SUMIFS(NOTA_FISCAL_ANALITICO!$G:$G,NOTA_FISCAL_ANALITICO!$D:$D,CONTROLE!I$1,NOTA_FISCAL_ANALITICO!$J:$J,CONTROLE!$A22)</f>
        <v>0</v>
      </c>
      <c r="J22" s="7">
        <f>SUMIFS(NOTA_FISCAL_ANALITICO!$G:$G,NOTA_FISCAL_ANALITICO!$D:$D,CONTROLE!J$1,NOTA_FISCAL_ANALITICO!$J:$J,CONTROLE!$A22)</f>
        <v>0</v>
      </c>
      <c r="K22" s="7">
        <f>SUMIFS(NOTA_FISCAL_ANALITICO!$G:$G,NOTA_FISCAL_ANALITICO!$D:$D,CONTROLE!K$1,NOTA_FISCAL_ANALITICO!$J:$J,CONTROLE!$A22)</f>
        <v>0</v>
      </c>
      <c r="L22" s="7">
        <f>SUMIFS(NOTA_FISCAL_ANALITICO!$G:$G,NOTA_FISCAL_ANALITICO!$D:$D,CONTROLE!L$1,NOTA_FISCAL_ANALITICO!$J:$J,CONTROLE!$A22)</f>
        <v>0</v>
      </c>
      <c r="M22" s="7">
        <f>SUMIFS(NOTA_FISCAL_ANALITICO!$G:$G,NOTA_FISCAL_ANALITICO!$D:$D,CONTROLE!M$1,NOTA_FISCAL_ANALITICO!$J:$J,CONTROLE!$A22)</f>
        <v>0</v>
      </c>
      <c r="N22" s="7">
        <f>SUMIFS(NOTA_FISCAL_ANALITICO!$G:$G,NOTA_FISCAL_ANALITICO!$D:$D,CONTROLE!N$1,NOTA_FISCAL_ANALITICO!$J:$J,CONTROLE!$A22)</f>
        <v>0</v>
      </c>
      <c r="O22" s="7">
        <f>SUMIFS(NOTA_FISCAL_ANALITICO!$G:$G,NOTA_FISCAL_ANALITICO!$D:$D,CONTROLE!O$1,NOTA_FISCAL_ANALITICO!$J:$J,CONTROLE!$A22)</f>
        <v>0</v>
      </c>
      <c r="P22" s="7">
        <f>SUMIFS(NOTA_FISCAL_ANALITICO!$G:$G,NOTA_FISCAL_ANALITICO!$D:$D,CONTROLE!P$1,NOTA_FISCAL_ANALITICO!$J:$J,CONTROLE!$A22)</f>
        <v>0</v>
      </c>
      <c r="Q22" s="7">
        <f>SUMIFS(NOTA_FISCAL_ANALITICO!$G:$G,NOTA_FISCAL_ANALITICO!$D:$D,CONTROLE!Q$1,NOTA_FISCAL_ANALITICO!$J:$J,CONTROLE!$A22)</f>
        <v>0</v>
      </c>
      <c r="R22" s="7">
        <f>SUMIFS(NOTA_FISCAL_ANALITICO!$G:$G,NOTA_FISCAL_ANALITICO!$D:$D,CONTROLE!R$1,NOTA_FISCAL_ANALITICO!$J:$J,CONTROLE!$A22)</f>
        <v>0</v>
      </c>
      <c r="S22" s="7">
        <f>SUMIFS(NOTA_FISCAL_ANALITICO!$G:$G,NOTA_FISCAL_ANALITICO!$D:$D,CONTROLE!S$1,NOTA_FISCAL_ANALITICO!$J:$J,CONTROLE!$A22)</f>
        <v>0</v>
      </c>
    </row>
    <row r="23" ht="15.75" customHeight="1">
      <c r="A23" s="4" t="s">
        <v>12</v>
      </c>
      <c r="B23" s="4" t="s">
        <v>13</v>
      </c>
      <c r="C23" s="5" t="s">
        <v>45</v>
      </c>
      <c r="G23" s="6">
        <f t="shared" si="3"/>
        <v>245176.79</v>
      </c>
      <c r="H23" s="7">
        <f>SUMIFS(NOTA_FISCAL_ANALITICO!$G:$G,NOTA_FISCAL_ANALITICO!$D:$D,CONTROLE!H$1,NOTA_FISCAL_ANALITICO!$J:$J,CONTROLE!$A23)</f>
        <v>118699.28</v>
      </c>
      <c r="I23" s="7">
        <f>SUMIFS(NOTA_FISCAL_ANALITICO!$G:$G,NOTA_FISCAL_ANALITICO!$D:$D,CONTROLE!I$1,NOTA_FISCAL_ANALITICO!$J:$J,CONTROLE!$A23)</f>
        <v>126477.51</v>
      </c>
      <c r="J23" s="7">
        <f>SUMIFS(NOTA_FISCAL_ANALITICO!$G:$G,NOTA_FISCAL_ANALITICO!$D:$D,CONTROLE!J$1,NOTA_FISCAL_ANALITICO!$J:$J,CONTROLE!$A23)</f>
        <v>0</v>
      </c>
      <c r="K23" s="7">
        <f>SUMIFS(NOTA_FISCAL_ANALITICO!$G:$G,NOTA_FISCAL_ANALITICO!$D:$D,CONTROLE!K$1,NOTA_FISCAL_ANALITICO!$J:$J,CONTROLE!$A23)</f>
        <v>0</v>
      </c>
      <c r="L23" s="7">
        <f>SUMIFS(NOTA_FISCAL_ANALITICO!$G:$G,NOTA_FISCAL_ANALITICO!$D:$D,CONTROLE!L$1,NOTA_FISCAL_ANALITICO!$J:$J,CONTROLE!$A23)</f>
        <v>0</v>
      </c>
      <c r="M23" s="7">
        <f>SUMIFS(NOTA_FISCAL_ANALITICO!$G:$G,NOTA_FISCAL_ANALITICO!$D:$D,CONTROLE!M$1,NOTA_FISCAL_ANALITICO!$J:$J,CONTROLE!$A23)</f>
        <v>0</v>
      </c>
      <c r="N23" s="7">
        <f>SUMIFS(NOTA_FISCAL_ANALITICO!$G:$G,NOTA_FISCAL_ANALITICO!$D:$D,CONTROLE!N$1,NOTA_FISCAL_ANALITICO!$J:$J,CONTROLE!$A23)</f>
        <v>0</v>
      </c>
      <c r="O23" s="7">
        <f>SUMIFS(NOTA_FISCAL_ANALITICO!$G:$G,NOTA_FISCAL_ANALITICO!$D:$D,CONTROLE!O$1,NOTA_FISCAL_ANALITICO!$J:$J,CONTROLE!$A23)</f>
        <v>0</v>
      </c>
      <c r="P23" s="7">
        <f>SUMIFS(NOTA_FISCAL_ANALITICO!$G:$G,NOTA_FISCAL_ANALITICO!$D:$D,CONTROLE!P$1,NOTA_FISCAL_ANALITICO!$J:$J,CONTROLE!$A23)</f>
        <v>0</v>
      </c>
      <c r="Q23" s="7">
        <f>SUMIFS(NOTA_FISCAL_ANALITICO!$G:$G,NOTA_FISCAL_ANALITICO!$D:$D,CONTROLE!Q$1,NOTA_FISCAL_ANALITICO!$J:$J,CONTROLE!$A23)</f>
        <v>0</v>
      </c>
      <c r="R23" s="7">
        <f>SUMIFS(NOTA_FISCAL_ANALITICO!$G:$G,NOTA_FISCAL_ANALITICO!$D:$D,CONTROLE!R$1,NOTA_FISCAL_ANALITICO!$J:$J,CONTROLE!$A23)</f>
        <v>0</v>
      </c>
      <c r="S23" s="7">
        <f>SUMIFS(NOTA_FISCAL_ANALITICO!$G:$G,NOTA_FISCAL_ANALITICO!$D:$D,CONTROLE!S$1,NOTA_FISCAL_ANALITICO!$J:$J,CONTROLE!$A23)</f>
        <v>0</v>
      </c>
    </row>
    <row r="24" ht="15.75" customHeight="1">
      <c r="A24" s="4" t="s">
        <v>14</v>
      </c>
      <c r="B24" s="4" t="s">
        <v>15</v>
      </c>
      <c r="C24" s="5" t="s">
        <v>45</v>
      </c>
      <c r="G24" s="6">
        <f t="shared" si="3"/>
        <v>451723.18</v>
      </c>
      <c r="H24" s="7">
        <f>SUMIFS(NOTA_FISCAL_ANALITICO!$G:$G,NOTA_FISCAL_ANALITICO!$D:$D,CONTROLE!H$1,NOTA_FISCAL_ANALITICO!$J:$J,CONTROLE!$A24)</f>
        <v>155501.04</v>
      </c>
      <c r="I24" s="7">
        <f>SUMIFS(NOTA_FISCAL_ANALITICO!$G:$G,NOTA_FISCAL_ANALITICO!$D:$D,CONTROLE!I$1,NOTA_FISCAL_ANALITICO!$J:$J,CONTROLE!$A24)</f>
        <v>296222.14</v>
      </c>
      <c r="J24" s="7">
        <f>SUMIFS(NOTA_FISCAL_ANALITICO!$G:$G,NOTA_FISCAL_ANALITICO!$D:$D,CONTROLE!J$1,NOTA_FISCAL_ANALITICO!$J:$J,CONTROLE!$A24)</f>
        <v>0</v>
      </c>
      <c r="K24" s="7">
        <f>SUMIFS(NOTA_FISCAL_ANALITICO!$G:$G,NOTA_FISCAL_ANALITICO!$D:$D,CONTROLE!K$1,NOTA_FISCAL_ANALITICO!$J:$J,CONTROLE!$A24)</f>
        <v>0</v>
      </c>
      <c r="L24" s="7">
        <f>SUMIFS(NOTA_FISCAL_ANALITICO!$G:$G,NOTA_FISCAL_ANALITICO!$D:$D,CONTROLE!L$1,NOTA_FISCAL_ANALITICO!$J:$J,CONTROLE!$A24)</f>
        <v>0</v>
      </c>
      <c r="M24" s="7">
        <f>SUMIFS(NOTA_FISCAL_ANALITICO!$G:$G,NOTA_FISCAL_ANALITICO!$D:$D,CONTROLE!M$1,NOTA_FISCAL_ANALITICO!$J:$J,CONTROLE!$A24)</f>
        <v>0</v>
      </c>
      <c r="N24" s="7">
        <f>SUMIFS(NOTA_FISCAL_ANALITICO!$G:$G,NOTA_FISCAL_ANALITICO!$D:$D,CONTROLE!N$1,NOTA_FISCAL_ANALITICO!$J:$J,CONTROLE!$A24)</f>
        <v>0</v>
      </c>
      <c r="O24" s="7">
        <f>SUMIFS(NOTA_FISCAL_ANALITICO!$G:$G,NOTA_FISCAL_ANALITICO!$D:$D,CONTROLE!O$1,NOTA_FISCAL_ANALITICO!$J:$J,CONTROLE!$A24)</f>
        <v>0</v>
      </c>
      <c r="P24" s="7">
        <f>SUMIFS(NOTA_FISCAL_ANALITICO!$G:$G,NOTA_FISCAL_ANALITICO!$D:$D,CONTROLE!P$1,NOTA_FISCAL_ANALITICO!$J:$J,CONTROLE!$A24)</f>
        <v>0</v>
      </c>
      <c r="Q24" s="7">
        <f>SUMIFS(NOTA_FISCAL_ANALITICO!$G:$G,NOTA_FISCAL_ANALITICO!$D:$D,CONTROLE!Q$1,NOTA_FISCAL_ANALITICO!$J:$J,CONTROLE!$A24)</f>
        <v>0</v>
      </c>
      <c r="R24" s="7">
        <f>SUMIFS(NOTA_FISCAL_ANALITICO!$G:$G,NOTA_FISCAL_ANALITICO!$D:$D,CONTROLE!R$1,NOTA_FISCAL_ANALITICO!$J:$J,CONTROLE!$A24)</f>
        <v>0</v>
      </c>
      <c r="S24" s="7">
        <f>SUMIFS(NOTA_FISCAL_ANALITICO!$G:$G,NOTA_FISCAL_ANALITICO!$D:$D,CONTROLE!S$1,NOTA_FISCAL_ANALITICO!$J:$J,CONTROLE!$A24)</f>
        <v>0</v>
      </c>
    </row>
    <row r="25" ht="15.75" customHeight="1">
      <c r="A25" s="4" t="s">
        <v>16</v>
      </c>
      <c r="B25" s="8" t="s">
        <v>17</v>
      </c>
      <c r="C25" s="5" t="s">
        <v>45</v>
      </c>
      <c r="D25" s="8"/>
      <c r="E25" s="8"/>
      <c r="F25" s="8"/>
      <c r="G25" s="6">
        <f t="shared" si="3"/>
        <v>56033.94</v>
      </c>
      <c r="H25" s="7">
        <f>SUMIFS(NOTA_FISCAL_ANALITICO!$G:$G,NOTA_FISCAL_ANALITICO!$D:$D,CONTROLE!H$1,NOTA_FISCAL_ANALITICO!$J:$J,CONTROLE!$A25)</f>
        <v>56033.94</v>
      </c>
      <c r="I25" s="7">
        <f>SUMIFS(NOTA_FISCAL_ANALITICO!$G:$G,NOTA_FISCAL_ANALITICO!$D:$D,CONTROLE!I$1,NOTA_FISCAL_ANALITICO!$J:$J,CONTROLE!$A25)</f>
        <v>0</v>
      </c>
      <c r="J25" s="7">
        <f>SUMIFS(NOTA_FISCAL_ANALITICO!$G:$G,NOTA_FISCAL_ANALITICO!$D:$D,CONTROLE!J$1,NOTA_FISCAL_ANALITICO!$J:$J,CONTROLE!$A25)</f>
        <v>0</v>
      </c>
      <c r="K25" s="7">
        <f>SUMIFS(NOTA_FISCAL_ANALITICO!$G:$G,NOTA_FISCAL_ANALITICO!$D:$D,CONTROLE!K$1,NOTA_FISCAL_ANALITICO!$J:$J,CONTROLE!$A25)</f>
        <v>0</v>
      </c>
      <c r="L25" s="7">
        <f>SUMIFS(NOTA_FISCAL_ANALITICO!$G:$G,NOTA_FISCAL_ANALITICO!$D:$D,CONTROLE!L$1,NOTA_FISCAL_ANALITICO!$J:$J,CONTROLE!$A25)</f>
        <v>0</v>
      </c>
      <c r="M25" s="7">
        <f>SUMIFS(NOTA_FISCAL_ANALITICO!$G:$G,NOTA_FISCAL_ANALITICO!$D:$D,CONTROLE!M$1,NOTA_FISCAL_ANALITICO!$J:$J,CONTROLE!$A25)</f>
        <v>0</v>
      </c>
      <c r="N25" s="7">
        <f>SUMIFS(NOTA_FISCAL_ANALITICO!$G:$G,NOTA_FISCAL_ANALITICO!$D:$D,CONTROLE!N$1,NOTA_FISCAL_ANALITICO!$J:$J,CONTROLE!$A25)</f>
        <v>0</v>
      </c>
      <c r="O25" s="7">
        <f>SUMIFS(NOTA_FISCAL_ANALITICO!$G:$G,NOTA_FISCAL_ANALITICO!$D:$D,CONTROLE!O$1,NOTA_FISCAL_ANALITICO!$J:$J,CONTROLE!$A25)</f>
        <v>0</v>
      </c>
      <c r="P25" s="7">
        <f>SUMIFS(NOTA_FISCAL_ANALITICO!$G:$G,NOTA_FISCAL_ANALITICO!$D:$D,CONTROLE!P$1,NOTA_FISCAL_ANALITICO!$J:$J,CONTROLE!$A25)</f>
        <v>0</v>
      </c>
      <c r="Q25" s="7">
        <f>SUMIFS(NOTA_FISCAL_ANALITICO!$G:$G,NOTA_FISCAL_ANALITICO!$D:$D,CONTROLE!Q$1,NOTA_FISCAL_ANALITICO!$J:$J,CONTROLE!$A25)</f>
        <v>0</v>
      </c>
      <c r="R25" s="7">
        <f>SUMIFS(NOTA_FISCAL_ANALITICO!$G:$G,NOTA_FISCAL_ANALITICO!$D:$D,CONTROLE!R$1,NOTA_FISCAL_ANALITICO!$J:$J,CONTROLE!$A25)</f>
        <v>0</v>
      </c>
      <c r="S25" s="7">
        <f>SUMIFS(NOTA_FISCAL_ANALITICO!$G:$G,NOTA_FISCAL_ANALITICO!$D:$D,CONTROLE!S$1,NOTA_FISCAL_ANALITICO!$J:$J,CONTROLE!$A25)</f>
        <v>0</v>
      </c>
      <c r="T25" s="8"/>
      <c r="U25" s="8"/>
      <c r="V25" s="8"/>
      <c r="W25" s="8"/>
      <c r="X25" s="8"/>
      <c r="Y25" s="8"/>
      <c r="Z25" s="8"/>
    </row>
    <row r="26" ht="15.75" customHeight="1">
      <c r="A26" s="4"/>
      <c r="B26" s="4"/>
      <c r="C26" s="4"/>
      <c r="D26" s="4"/>
      <c r="E26" s="4"/>
      <c r="F26" s="4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</row>
    <row r="27" ht="15.75" customHeight="1">
      <c r="A27" s="4" t="s">
        <v>7</v>
      </c>
      <c r="B27" s="4" t="s">
        <v>8</v>
      </c>
      <c r="C27" s="8" t="s">
        <v>46</v>
      </c>
      <c r="G27" s="6">
        <f t="shared" ref="G27:G31" si="5">SUM(H27:S27)</f>
        <v>-252716.37</v>
      </c>
      <c r="H27" s="7">
        <f t="shared" ref="H27:S27" si="4">SUMIFS(H$2:H$26,$C$2:$C$26,"Forecast",$A$2:$A$26,$A27)-SUMIFS(H$2:H$26,$C$2:$C$26,"Realizado",$A$2:$A$26,$A27)</f>
        <v>-252716.37</v>
      </c>
      <c r="I27" s="7">
        <f t="shared" si="4"/>
        <v>0</v>
      </c>
      <c r="J27" s="7">
        <f t="shared" si="4"/>
        <v>0</v>
      </c>
      <c r="K27" s="7">
        <f t="shared" si="4"/>
        <v>0</v>
      </c>
      <c r="L27" s="7">
        <f t="shared" si="4"/>
        <v>0</v>
      </c>
      <c r="M27" s="7">
        <f t="shared" si="4"/>
        <v>0</v>
      </c>
      <c r="N27" s="7">
        <f t="shared" si="4"/>
        <v>0</v>
      </c>
      <c r="O27" s="7">
        <f t="shared" si="4"/>
        <v>0</v>
      </c>
      <c r="P27" s="7">
        <f t="shared" si="4"/>
        <v>0</v>
      </c>
      <c r="Q27" s="7">
        <f t="shared" si="4"/>
        <v>0</v>
      </c>
      <c r="R27" s="7">
        <f t="shared" si="4"/>
        <v>0</v>
      </c>
      <c r="S27" s="7">
        <f t="shared" si="4"/>
        <v>0</v>
      </c>
    </row>
    <row r="28" ht="15.75" customHeight="1">
      <c r="A28" s="4" t="s">
        <v>10</v>
      </c>
      <c r="B28" s="4" t="s">
        <v>11</v>
      </c>
      <c r="C28" s="8" t="s">
        <v>46</v>
      </c>
      <c r="G28" s="6">
        <f t="shared" si="5"/>
        <v>0</v>
      </c>
      <c r="H28" s="7">
        <f t="shared" ref="H28:S28" si="6">SUMIFS(H$2:H$26,$C$2:$C$26,"Forecast",$A$2:$A$26,$A28)-SUMIFS(H$2:H$26,$C$2:$C$26,"Realizado",$A$2:$A$26,$A28)</f>
        <v>0</v>
      </c>
      <c r="I28" s="7">
        <f t="shared" si="6"/>
        <v>0</v>
      </c>
      <c r="J28" s="7">
        <f t="shared" si="6"/>
        <v>0</v>
      </c>
      <c r="K28" s="7">
        <f t="shared" si="6"/>
        <v>0</v>
      </c>
      <c r="L28" s="7">
        <f t="shared" si="6"/>
        <v>0</v>
      </c>
      <c r="M28" s="7">
        <f t="shared" si="6"/>
        <v>0</v>
      </c>
      <c r="N28" s="7">
        <f t="shared" si="6"/>
        <v>0</v>
      </c>
      <c r="O28" s="7">
        <f t="shared" si="6"/>
        <v>0</v>
      </c>
      <c r="P28" s="7">
        <f t="shared" si="6"/>
        <v>0</v>
      </c>
      <c r="Q28" s="7">
        <f t="shared" si="6"/>
        <v>0</v>
      </c>
      <c r="R28" s="7">
        <f t="shared" si="6"/>
        <v>0</v>
      </c>
      <c r="S28" s="7">
        <f t="shared" si="6"/>
        <v>0</v>
      </c>
    </row>
    <row r="29" ht="15.75" customHeight="1">
      <c r="A29" s="4" t="s">
        <v>12</v>
      </c>
      <c r="B29" s="4" t="s">
        <v>13</v>
      </c>
      <c r="C29" s="8" t="s">
        <v>46</v>
      </c>
      <c r="G29" s="6">
        <f t="shared" si="5"/>
        <v>1620541.21</v>
      </c>
      <c r="H29" s="7">
        <f t="shared" ref="H29:S29" si="7">SUMIFS(H$2:H$26,$C$2:$C$26,"Forecast",$A$2:$A$26,$A29)-SUMIFS(H$2:H$26,$C$2:$C$26,"Realizado",$A$2:$A$26,$A29)</f>
        <v>36777.22</v>
      </c>
      <c r="I29" s="7">
        <f t="shared" si="7"/>
        <v>28998.99</v>
      </c>
      <c r="J29" s="7">
        <f t="shared" si="7"/>
        <v>155476.5</v>
      </c>
      <c r="K29" s="7">
        <f t="shared" si="7"/>
        <v>155476.5</v>
      </c>
      <c r="L29" s="7">
        <f t="shared" si="7"/>
        <v>155476.5</v>
      </c>
      <c r="M29" s="7">
        <f t="shared" si="7"/>
        <v>155476.5</v>
      </c>
      <c r="N29" s="7">
        <f t="shared" si="7"/>
        <v>155476.5</v>
      </c>
      <c r="O29" s="7">
        <f t="shared" si="7"/>
        <v>155476.5</v>
      </c>
      <c r="P29" s="7">
        <f t="shared" si="7"/>
        <v>155476.5</v>
      </c>
      <c r="Q29" s="7">
        <f t="shared" si="7"/>
        <v>155476.5</v>
      </c>
      <c r="R29" s="7">
        <f t="shared" si="7"/>
        <v>155476.5</v>
      </c>
      <c r="S29" s="7">
        <f t="shared" si="7"/>
        <v>155476.5</v>
      </c>
    </row>
    <row r="30" ht="15.75" customHeight="1">
      <c r="A30" s="4" t="s">
        <v>14</v>
      </c>
      <c r="B30" s="4" t="s">
        <v>15</v>
      </c>
      <c r="C30" s="8" t="s">
        <v>46</v>
      </c>
      <c r="G30" s="6">
        <f t="shared" si="5"/>
        <v>3503642.82</v>
      </c>
      <c r="H30" s="7">
        <f t="shared" ref="H30:S30" si="8">SUMIFS(H$2:H$26,$C$2:$C$26,"Forecast",$A$2:$A$26,$A30)-SUMIFS(H$2:H$26,$C$2:$C$26,"Realizado",$A$2:$A$26,$A30)</f>
        <v>174112.7933</v>
      </c>
      <c r="I30" s="7">
        <f t="shared" si="8"/>
        <v>33391.69333</v>
      </c>
      <c r="J30" s="7">
        <f t="shared" si="8"/>
        <v>329613.8333</v>
      </c>
      <c r="K30" s="7">
        <f t="shared" si="8"/>
        <v>329613.8333</v>
      </c>
      <c r="L30" s="7">
        <f t="shared" si="8"/>
        <v>329613.8333</v>
      </c>
      <c r="M30" s="7">
        <f t="shared" si="8"/>
        <v>329613.8333</v>
      </c>
      <c r="N30" s="7">
        <f t="shared" si="8"/>
        <v>329613.8333</v>
      </c>
      <c r="O30" s="7">
        <f t="shared" si="8"/>
        <v>329613.8333</v>
      </c>
      <c r="P30" s="7">
        <f t="shared" si="8"/>
        <v>329613.8333</v>
      </c>
      <c r="Q30" s="7">
        <f t="shared" si="8"/>
        <v>329613.8333</v>
      </c>
      <c r="R30" s="7">
        <f t="shared" si="8"/>
        <v>329613.8333</v>
      </c>
      <c r="S30" s="7">
        <f t="shared" si="8"/>
        <v>329613.8333</v>
      </c>
    </row>
    <row r="31" ht="15.75" customHeight="1">
      <c r="A31" s="4" t="s">
        <v>16</v>
      </c>
      <c r="B31" s="8" t="s">
        <v>17</v>
      </c>
      <c r="C31" s="8" t="s">
        <v>46</v>
      </c>
      <c r="D31" s="8"/>
      <c r="E31" s="8"/>
      <c r="F31" s="8"/>
      <c r="G31" s="6">
        <f t="shared" si="5"/>
        <v>43966.06</v>
      </c>
      <c r="H31" s="7">
        <f t="shared" ref="H31:S31" si="9">SUMIFS(H$2:H$26,$C$2:$C$26,"Forecast",$A$2:$A$26,$A31)-SUMIFS(H$2:H$26,$C$2:$C$26,"Realizado",$A$2:$A$26,$A31)</f>
        <v>0</v>
      </c>
      <c r="I31" s="7">
        <f t="shared" si="9"/>
        <v>0</v>
      </c>
      <c r="J31" s="7">
        <f t="shared" si="9"/>
        <v>43966.06</v>
      </c>
      <c r="K31" s="7">
        <f t="shared" si="9"/>
        <v>0</v>
      </c>
      <c r="L31" s="7">
        <f t="shared" si="9"/>
        <v>0</v>
      </c>
      <c r="M31" s="7">
        <f t="shared" si="9"/>
        <v>0</v>
      </c>
      <c r="N31" s="7">
        <f t="shared" si="9"/>
        <v>0</v>
      </c>
      <c r="O31" s="7">
        <f t="shared" si="9"/>
        <v>0</v>
      </c>
      <c r="P31" s="7">
        <f t="shared" si="9"/>
        <v>0</v>
      </c>
      <c r="Q31" s="7">
        <f t="shared" si="9"/>
        <v>0</v>
      </c>
      <c r="R31" s="7">
        <f t="shared" si="9"/>
        <v>0</v>
      </c>
      <c r="S31" s="7">
        <f t="shared" si="9"/>
        <v>0</v>
      </c>
      <c r="T31" s="8"/>
      <c r="U31" s="8"/>
      <c r="V31" s="8"/>
      <c r="W31" s="8"/>
      <c r="X31" s="8"/>
      <c r="Y31" s="8"/>
      <c r="Z31" s="8"/>
    </row>
    <row r="32" ht="15.75" customHeight="1"/>
    <row r="33" ht="15.75" customHeight="1">
      <c r="A33" s="4" t="s">
        <v>7</v>
      </c>
      <c r="B33" s="4" t="s">
        <v>8</v>
      </c>
      <c r="C33" s="5" t="s">
        <v>47</v>
      </c>
      <c r="G33" s="6">
        <f t="shared" ref="G33:G37" si="10">G27</f>
        <v>-252716.37</v>
      </c>
      <c r="H33" s="7">
        <v>0.0</v>
      </c>
      <c r="I33" s="7">
        <v>0.0</v>
      </c>
      <c r="J33" s="7">
        <v>0.0</v>
      </c>
      <c r="K33" s="7">
        <v>0.0</v>
      </c>
      <c r="L33" s="7">
        <v>0.0</v>
      </c>
      <c r="M33" s="7">
        <v>0.0</v>
      </c>
      <c r="N33" s="7">
        <v>0.0</v>
      </c>
      <c r="O33" s="7">
        <v>0.0</v>
      </c>
      <c r="P33" s="7">
        <v>0.0</v>
      </c>
      <c r="Q33" s="7">
        <v>0.0</v>
      </c>
      <c r="R33" s="7">
        <v>0.0</v>
      </c>
      <c r="S33" s="7">
        <v>0.0</v>
      </c>
    </row>
    <row r="34" ht="15.75" customHeight="1">
      <c r="A34" s="4" t="s">
        <v>10</v>
      </c>
      <c r="B34" s="4" t="s">
        <v>11</v>
      </c>
      <c r="C34" s="5" t="s">
        <v>47</v>
      </c>
      <c r="G34" s="6">
        <f t="shared" si="10"/>
        <v>0</v>
      </c>
      <c r="H34" s="7">
        <v>0.0</v>
      </c>
      <c r="I34" s="7">
        <v>0.0</v>
      </c>
      <c r="J34" s="7">
        <v>0.0</v>
      </c>
      <c r="K34" s="7">
        <v>0.0</v>
      </c>
      <c r="L34" s="7">
        <v>0.0</v>
      </c>
      <c r="M34" s="7">
        <v>0.0</v>
      </c>
      <c r="N34" s="7">
        <v>0.0</v>
      </c>
      <c r="O34" s="7">
        <v>0.0</v>
      </c>
      <c r="P34" s="7">
        <v>0.0</v>
      </c>
      <c r="Q34" s="7">
        <v>0.0</v>
      </c>
      <c r="R34" s="7">
        <v>0.0</v>
      </c>
      <c r="S34" s="7">
        <v>0.0</v>
      </c>
    </row>
    <row r="35" ht="15.75" customHeight="1">
      <c r="A35" s="4" t="s">
        <v>12</v>
      </c>
      <c r="B35" s="4" t="s">
        <v>13</v>
      </c>
      <c r="C35" s="5" t="s">
        <v>47</v>
      </c>
      <c r="G35" s="6">
        <f t="shared" si="10"/>
        <v>1620541.21</v>
      </c>
      <c r="H35" s="7">
        <v>0.0</v>
      </c>
      <c r="I35" s="7">
        <v>0.0</v>
      </c>
      <c r="J35" s="7">
        <f t="shared" ref="J35:S35" si="11">$G35/10</f>
        <v>162054.121</v>
      </c>
      <c r="K35" s="7">
        <f t="shared" si="11"/>
        <v>162054.121</v>
      </c>
      <c r="L35" s="7">
        <f t="shared" si="11"/>
        <v>162054.121</v>
      </c>
      <c r="M35" s="7">
        <f t="shared" si="11"/>
        <v>162054.121</v>
      </c>
      <c r="N35" s="7">
        <f t="shared" si="11"/>
        <v>162054.121</v>
      </c>
      <c r="O35" s="7">
        <f t="shared" si="11"/>
        <v>162054.121</v>
      </c>
      <c r="P35" s="7">
        <f t="shared" si="11"/>
        <v>162054.121</v>
      </c>
      <c r="Q35" s="7">
        <f t="shared" si="11"/>
        <v>162054.121</v>
      </c>
      <c r="R35" s="7">
        <f t="shared" si="11"/>
        <v>162054.121</v>
      </c>
      <c r="S35" s="7">
        <f t="shared" si="11"/>
        <v>162054.121</v>
      </c>
    </row>
    <row r="36" ht="15.75" customHeight="1">
      <c r="A36" s="4" t="s">
        <v>14</v>
      </c>
      <c r="B36" s="4" t="s">
        <v>15</v>
      </c>
      <c r="C36" s="5" t="s">
        <v>47</v>
      </c>
      <c r="G36" s="6">
        <f t="shared" si="10"/>
        <v>3503642.82</v>
      </c>
      <c r="H36" s="7">
        <v>0.0</v>
      </c>
      <c r="I36" s="7">
        <v>0.0</v>
      </c>
      <c r="J36" s="7">
        <f t="shared" ref="J36:S36" si="12">$G36/10</f>
        <v>350364.282</v>
      </c>
      <c r="K36" s="7">
        <f t="shared" si="12"/>
        <v>350364.282</v>
      </c>
      <c r="L36" s="7">
        <f t="shared" si="12"/>
        <v>350364.282</v>
      </c>
      <c r="M36" s="7">
        <f t="shared" si="12"/>
        <v>350364.282</v>
      </c>
      <c r="N36" s="7">
        <f t="shared" si="12"/>
        <v>350364.282</v>
      </c>
      <c r="O36" s="7">
        <f t="shared" si="12"/>
        <v>350364.282</v>
      </c>
      <c r="P36" s="7">
        <f t="shared" si="12"/>
        <v>350364.282</v>
      </c>
      <c r="Q36" s="7">
        <f t="shared" si="12"/>
        <v>350364.282</v>
      </c>
      <c r="R36" s="7">
        <f t="shared" si="12"/>
        <v>350364.282</v>
      </c>
      <c r="S36" s="7">
        <f t="shared" si="12"/>
        <v>350364.282</v>
      </c>
    </row>
    <row r="37" ht="15.75" customHeight="1">
      <c r="A37" s="4" t="s">
        <v>16</v>
      </c>
      <c r="B37" s="8" t="s">
        <v>17</v>
      </c>
      <c r="C37" s="5" t="s">
        <v>47</v>
      </c>
      <c r="D37" s="8"/>
      <c r="E37" s="8"/>
      <c r="F37" s="8"/>
      <c r="G37" s="6">
        <f t="shared" si="10"/>
        <v>43966.06</v>
      </c>
      <c r="H37" s="7">
        <v>0.0</v>
      </c>
      <c r="I37" s="7">
        <v>0.0</v>
      </c>
      <c r="J37" s="7">
        <f t="shared" ref="J37:S37" si="13">$G37/10</f>
        <v>4396.606</v>
      </c>
      <c r="K37" s="7">
        <f t="shared" si="13"/>
        <v>4396.606</v>
      </c>
      <c r="L37" s="7">
        <f t="shared" si="13"/>
        <v>4396.606</v>
      </c>
      <c r="M37" s="7">
        <f t="shared" si="13"/>
        <v>4396.606</v>
      </c>
      <c r="N37" s="7">
        <f t="shared" si="13"/>
        <v>4396.606</v>
      </c>
      <c r="O37" s="7">
        <f t="shared" si="13"/>
        <v>4396.606</v>
      </c>
      <c r="P37" s="7">
        <f t="shared" si="13"/>
        <v>4396.606</v>
      </c>
      <c r="Q37" s="7">
        <f t="shared" si="13"/>
        <v>4396.606</v>
      </c>
      <c r="R37" s="7">
        <f t="shared" si="13"/>
        <v>4396.606</v>
      </c>
      <c r="S37" s="7">
        <f t="shared" si="13"/>
        <v>4396.606</v>
      </c>
      <c r="T37" s="8"/>
      <c r="U37" s="8"/>
      <c r="V37" s="8"/>
      <c r="W37" s="8"/>
      <c r="X37" s="8"/>
      <c r="Y37" s="8"/>
      <c r="Z37" s="8"/>
    </row>
    <row r="38" ht="15.75" customHeight="1"/>
    <row r="39" ht="15.75" customHeight="1">
      <c r="G39" s="7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44.14"/>
    <col customWidth="1" min="3" max="3" width="17.29"/>
  </cols>
  <sheetData>
    <row r="1">
      <c r="A1" s="12" t="s">
        <v>48</v>
      </c>
      <c r="B1" s="13" t="s">
        <v>49</v>
      </c>
      <c r="C1" s="13" t="s">
        <v>50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>
      <c r="A2" s="13" t="s">
        <v>51</v>
      </c>
      <c r="B2" s="13" t="s">
        <v>52</v>
      </c>
      <c r="C2" s="15" t="s">
        <v>28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>
      <c r="A3" s="13" t="s">
        <v>53</v>
      </c>
      <c r="B3" s="13" t="s">
        <v>54</v>
      </c>
      <c r="C3" s="15" t="s">
        <v>55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>
      <c r="A4" s="13" t="s">
        <v>56</v>
      </c>
      <c r="B4" s="13" t="s">
        <v>57</v>
      </c>
      <c r="C4" s="13" t="s">
        <v>58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>
      <c r="A5" s="13" t="s">
        <v>59</v>
      </c>
      <c r="B5" s="14" t="s">
        <v>60</v>
      </c>
      <c r="C5" s="15" t="s">
        <v>61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>
      <c r="A6" s="13" t="s">
        <v>62</v>
      </c>
      <c r="B6" s="13" t="s">
        <v>63</v>
      </c>
      <c r="C6" s="15" t="s">
        <v>64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>
      <c r="A7" s="13" t="s">
        <v>65</v>
      </c>
      <c r="B7" s="13" t="s">
        <v>66</v>
      </c>
      <c r="C7" s="15" t="s">
        <v>19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8.57"/>
    <col customWidth="1" min="3" max="3" width="40.57"/>
    <col customWidth="1" min="4" max="4" width="15.86"/>
    <col customWidth="1" min="5" max="5" width="18.57"/>
    <col customWidth="1" min="6" max="6" width="13.71"/>
    <col customWidth="1" min="7" max="7" width="7.57"/>
    <col customWidth="1" min="8" max="8" width="14.43"/>
    <col customWidth="1" min="9" max="9" width="14.14"/>
    <col customWidth="1" min="10" max="10" width="19.0"/>
    <col customWidth="1" min="11" max="11" width="18.29"/>
    <col customWidth="1" min="12" max="12" width="13.14"/>
    <col customWidth="1" min="13" max="13" width="60.71"/>
  </cols>
  <sheetData>
    <row r="1">
      <c r="A1" s="16" t="s">
        <v>67</v>
      </c>
      <c r="B1" s="16" t="s">
        <v>48</v>
      </c>
      <c r="C1" s="16" t="s">
        <v>49</v>
      </c>
      <c r="D1" s="16" t="s">
        <v>50</v>
      </c>
      <c r="E1" s="16" t="s">
        <v>68</v>
      </c>
      <c r="F1" s="17" t="s">
        <v>69</v>
      </c>
      <c r="G1" s="17" t="s">
        <v>70</v>
      </c>
      <c r="H1" s="17" t="s">
        <v>71</v>
      </c>
      <c r="I1" s="18" t="s">
        <v>72</v>
      </c>
      <c r="J1" s="17" t="s">
        <v>73</v>
      </c>
      <c r="K1" s="17" t="s">
        <v>74</v>
      </c>
      <c r="L1" s="17" t="s">
        <v>1</v>
      </c>
      <c r="M1" s="17" t="s">
        <v>75</v>
      </c>
    </row>
    <row r="2">
      <c r="A2" s="17" t="s">
        <v>76</v>
      </c>
      <c r="B2" s="16" t="s">
        <v>65</v>
      </c>
      <c r="C2" s="19" t="s">
        <v>66</v>
      </c>
      <c r="D2" s="16" t="s">
        <v>19</v>
      </c>
      <c r="E2" s="16" t="s">
        <v>77</v>
      </c>
      <c r="F2" s="20">
        <v>45658.0</v>
      </c>
      <c r="G2" s="19">
        <v>2701.0</v>
      </c>
      <c r="H2" s="21">
        <v>45699.0</v>
      </c>
      <c r="I2" s="22">
        <v>191611.98</v>
      </c>
      <c r="J2" s="19" t="s">
        <v>78</v>
      </c>
      <c r="K2" s="21">
        <v>45759.0</v>
      </c>
      <c r="L2" s="17" t="s">
        <v>79</v>
      </c>
      <c r="M2" s="23" t="s">
        <v>80</v>
      </c>
    </row>
    <row r="3">
      <c r="A3" s="17" t="s">
        <v>76</v>
      </c>
      <c r="B3" s="16" t="s">
        <v>65</v>
      </c>
      <c r="C3" s="19" t="s">
        <v>66</v>
      </c>
      <c r="D3" s="16" t="s">
        <v>19</v>
      </c>
      <c r="E3" s="16" t="s">
        <v>77</v>
      </c>
      <c r="F3" s="20">
        <v>45658.0</v>
      </c>
      <c r="G3" s="19">
        <v>2702.0</v>
      </c>
      <c r="H3" s="21">
        <v>45699.0</v>
      </c>
      <c r="I3" s="22">
        <v>24607.42</v>
      </c>
      <c r="J3" s="19" t="s">
        <v>78</v>
      </c>
      <c r="K3" s="21">
        <v>45759.0</v>
      </c>
      <c r="L3" s="17" t="s">
        <v>79</v>
      </c>
      <c r="M3" s="23" t="s">
        <v>80</v>
      </c>
    </row>
    <row r="4">
      <c r="A4" s="17" t="s">
        <v>76</v>
      </c>
      <c r="B4" s="16" t="s">
        <v>65</v>
      </c>
      <c r="C4" s="19" t="s">
        <v>66</v>
      </c>
      <c r="D4" s="16" t="s">
        <v>19</v>
      </c>
      <c r="E4" s="16" t="s">
        <v>77</v>
      </c>
      <c r="F4" s="20">
        <v>45689.0</v>
      </c>
      <c r="G4" s="19">
        <v>2753.0</v>
      </c>
      <c r="H4" s="21">
        <v>45727.0</v>
      </c>
      <c r="I4" s="22">
        <v>303490.65</v>
      </c>
      <c r="J4" s="19" t="s">
        <v>81</v>
      </c>
      <c r="K4" s="21">
        <v>45787.0</v>
      </c>
      <c r="L4" s="17" t="s">
        <v>79</v>
      </c>
      <c r="M4" s="23" t="s">
        <v>80</v>
      </c>
    </row>
    <row r="5">
      <c r="A5" s="17" t="s">
        <v>76</v>
      </c>
      <c r="B5" s="16" t="s">
        <v>65</v>
      </c>
      <c r="C5" s="19" t="s">
        <v>66</v>
      </c>
      <c r="D5" s="16" t="s">
        <v>19</v>
      </c>
      <c r="E5" s="16" t="s">
        <v>77</v>
      </c>
      <c r="F5" s="20">
        <v>45717.0</v>
      </c>
      <c r="G5" s="19">
        <v>2791.0</v>
      </c>
      <c r="H5" s="21">
        <v>45749.0</v>
      </c>
      <c r="I5" s="22">
        <v>212597.4</v>
      </c>
      <c r="J5" s="19" t="s">
        <v>82</v>
      </c>
      <c r="K5" s="21">
        <v>45809.0</v>
      </c>
      <c r="L5" s="17" t="s">
        <v>79</v>
      </c>
      <c r="M5" s="23" t="s">
        <v>80</v>
      </c>
    </row>
    <row r="6">
      <c r="A6" s="17" t="s">
        <v>76</v>
      </c>
      <c r="B6" s="16" t="s">
        <v>65</v>
      </c>
      <c r="C6" s="19" t="s">
        <v>66</v>
      </c>
      <c r="D6" s="16" t="s">
        <v>19</v>
      </c>
      <c r="E6" s="16" t="s">
        <v>77</v>
      </c>
      <c r="F6" s="20">
        <v>45748.0</v>
      </c>
      <c r="G6" s="19">
        <v>2838.0</v>
      </c>
      <c r="H6" s="21">
        <v>45783.0</v>
      </c>
      <c r="I6" s="22">
        <v>284824.47</v>
      </c>
      <c r="J6" s="19" t="s">
        <v>83</v>
      </c>
      <c r="K6" s="21">
        <v>45843.0</v>
      </c>
      <c r="L6" s="17" t="s">
        <v>79</v>
      </c>
      <c r="M6" s="23" t="s">
        <v>80</v>
      </c>
    </row>
    <row r="7">
      <c r="A7" s="17" t="s">
        <v>84</v>
      </c>
      <c r="B7" s="16" t="s">
        <v>65</v>
      </c>
      <c r="C7" s="19" t="s">
        <v>66</v>
      </c>
      <c r="D7" s="16" t="s">
        <v>19</v>
      </c>
      <c r="E7" s="16" t="s">
        <v>77</v>
      </c>
      <c r="F7" s="20">
        <v>45778.0</v>
      </c>
      <c r="G7" s="17">
        <v>2886.0</v>
      </c>
      <c r="H7" s="21">
        <v>45811.0</v>
      </c>
      <c r="I7" s="22">
        <v>32224.0</v>
      </c>
      <c r="J7" s="19" t="s">
        <v>85</v>
      </c>
      <c r="K7" s="21">
        <v>45871.0</v>
      </c>
      <c r="L7" s="17" t="s">
        <v>79</v>
      </c>
      <c r="M7" s="23" t="s">
        <v>80</v>
      </c>
    </row>
    <row r="8">
      <c r="A8" s="17" t="s">
        <v>76</v>
      </c>
      <c r="B8" s="16" t="s">
        <v>65</v>
      </c>
      <c r="C8" s="19" t="s">
        <v>66</v>
      </c>
      <c r="D8" s="16" t="s">
        <v>19</v>
      </c>
      <c r="E8" s="16" t="s">
        <v>77</v>
      </c>
      <c r="F8" s="20">
        <v>45778.0</v>
      </c>
      <c r="G8" s="19">
        <v>2887.0</v>
      </c>
      <c r="H8" s="21">
        <v>45811.0</v>
      </c>
      <c r="I8" s="22">
        <v>283830.3</v>
      </c>
      <c r="J8" s="19" t="s">
        <v>85</v>
      </c>
      <c r="K8" s="21">
        <v>45871.0</v>
      </c>
      <c r="L8" s="17" t="s">
        <v>79</v>
      </c>
      <c r="M8" s="23" t="s">
        <v>80</v>
      </c>
    </row>
    <row r="9">
      <c r="A9" s="17" t="s">
        <v>76</v>
      </c>
      <c r="B9" s="16" t="s">
        <v>51</v>
      </c>
      <c r="C9" s="19" t="s">
        <v>52</v>
      </c>
      <c r="D9" s="16" t="s">
        <v>28</v>
      </c>
      <c r="E9" s="16" t="s">
        <v>86</v>
      </c>
      <c r="F9" s="20">
        <v>45658.0</v>
      </c>
      <c r="G9" s="19">
        <v>145286.0</v>
      </c>
      <c r="H9" s="21">
        <v>45701.0</v>
      </c>
      <c r="I9" s="22">
        <v>131897.28</v>
      </c>
      <c r="J9" s="19" t="s">
        <v>87</v>
      </c>
      <c r="K9" s="21">
        <v>45746.0</v>
      </c>
      <c r="L9" s="17" t="s">
        <v>7</v>
      </c>
      <c r="M9" s="23" t="s">
        <v>8</v>
      </c>
    </row>
    <row r="10">
      <c r="A10" s="17" t="s">
        <v>76</v>
      </c>
      <c r="B10" s="16" t="s">
        <v>51</v>
      </c>
      <c r="C10" s="19" t="s">
        <v>52</v>
      </c>
      <c r="D10" s="16" t="s">
        <v>28</v>
      </c>
      <c r="E10" s="16" t="s">
        <v>86</v>
      </c>
      <c r="F10" s="20">
        <v>45689.0</v>
      </c>
      <c r="G10" s="19">
        <v>145885.0</v>
      </c>
      <c r="H10" s="21">
        <v>45729.0</v>
      </c>
      <c r="I10" s="22">
        <v>88245.42</v>
      </c>
      <c r="J10" s="19" t="s">
        <v>88</v>
      </c>
      <c r="K10" s="21">
        <v>45774.0</v>
      </c>
      <c r="L10" s="17" t="s">
        <v>7</v>
      </c>
      <c r="M10" s="23" t="s">
        <v>8</v>
      </c>
    </row>
    <row r="11">
      <c r="A11" s="17" t="s">
        <v>76</v>
      </c>
      <c r="B11" s="16" t="s">
        <v>51</v>
      </c>
      <c r="C11" s="19" t="s">
        <v>52</v>
      </c>
      <c r="D11" s="16" t="s">
        <v>28</v>
      </c>
      <c r="E11" s="16" t="s">
        <v>77</v>
      </c>
      <c r="F11" s="20">
        <v>45717.0</v>
      </c>
      <c r="G11" s="19"/>
      <c r="H11" s="21"/>
      <c r="I11" s="22">
        <v>146501.52</v>
      </c>
      <c r="J11" s="19" t="s">
        <v>89</v>
      </c>
      <c r="K11" s="21"/>
      <c r="L11" s="17" t="s">
        <v>90</v>
      </c>
      <c r="M11" s="23" t="s">
        <v>91</v>
      </c>
    </row>
    <row r="12">
      <c r="A12" s="17" t="s">
        <v>76</v>
      </c>
      <c r="B12" s="16" t="s">
        <v>51</v>
      </c>
      <c r="C12" s="19" t="s">
        <v>52</v>
      </c>
      <c r="D12" s="16" t="s">
        <v>28</v>
      </c>
      <c r="E12" s="16" t="s">
        <v>86</v>
      </c>
      <c r="F12" s="20">
        <v>45717.0</v>
      </c>
      <c r="G12" s="19"/>
      <c r="H12" s="21"/>
      <c r="I12" s="22">
        <v>101456.94</v>
      </c>
      <c r="J12" s="19" t="s">
        <v>89</v>
      </c>
      <c r="K12" s="21"/>
      <c r="L12" s="17" t="s">
        <v>7</v>
      </c>
      <c r="M12" s="23" t="s">
        <v>8</v>
      </c>
    </row>
    <row r="13">
      <c r="A13" s="17" t="s">
        <v>76</v>
      </c>
      <c r="B13" s="16" t="s">
        <v>51</v>
      </c>
      <c r="C13" s="19" t="s">
        <v>52</v>
      </c>
      <c r="D13" s="16" t="s">
        <v>28</v>
      </c>
      <c r="E13" s="16" t="s">
        <v>77</v>
      </c>
      <c r="F13" s="20">
        <v>45748.0</v>
      </c>
      <c r="G13" s="19">
        <v>147368.0</v>
      </c>
      <c r="H13" s="21">
        <v>45789.0</v>
      </c>
      <c r="I13" s="22">
        <v>89693.94</v>
      </c>
      <c r="J13" s="19" t="s">
        <v>92</v>
      </c>
      <c r="K13" s="21">
        <v>45834.0</v>
      </c>
      <c r="L13" s="17" t="s">
        <v>90</v>
      </c>
      <c r="M13" s="23" t="s">
        <v>91</v>
      </c>
    </row>
    <row r="14">
      <c r="A14" s="17" t="s">
        <v>76</v>
      </c>
      <c r="B14" s="16" t="s">
        <v>51</v>
      </c>
      <c r="C14" s="19" t="s">
        <v>52</v>
      </c>
      <c r="D14" s="16" t="s">
        <v>28</v>
      </c>
      <c r="E14" s="16" t="s">
        <v>86</v>
      </c>
      <c r="F14" s="20">
        <v>45748.0</v>
      </c>
      <c r="G14" s="19">
        <v>147373.0</v>
      </c>
      <c r="H14" s="21">
        <v>45789.0</v>
      </c>
      <c r="I14" s="22">
        <v>77929.2</v>
      </c>
      <c r="J14" s="19" t="s">
        <v>92</v>
      </c>
      <c r="K14" s="21">
        <v>45834.0</v>
      </c>
      <c r="L14" s="17" t="s">
        <v>7</v>
      </c>
      <c r="M14" s="23" t="s">
        <v>8</v>
      </c>
    </row>
    <row r="15">
      <c r="A15" s="17" t="s">
        <v>76</v>
      </c>
      <c r="B15" s="16" t="s">
        <v>51</v>
      </c>
      <c r="C15" s="19" t="s">
        <v>52</v>
      </c>
      <c r="D15" s="16" t="s">
        <v>28</v>
      </c>
      <c r="E15" s="16" t="s">
        <v>86</v>
      </c>
      <c r="F15" s="20">
        <v>45778.0</v>
      </c>
      <c r="G15" s="19">
        <v>148462.0</v>
      </c>
      <c r="H15" s="21">
        <v>45819.0</v>
      </c>
      <c r="I15" s="22">
        <v>121633.02</v>
      </c>
      <c r="J15" s="19" t="s">
        <v>85</v>
      </c>
      <c r="K15" s="21">
        <v>45864.0</v>
      </c>
      <c r="L15" s="17" t="s">
        <v>7</v>
      </c>
      <c r="M15" s="23" t="s">
        <v>8</v>
      </c>
    </row>
    <row r="16">
      <c r="A16" s="17" t="s">
        <v>76</v>
      </c>
      <c r="B16" s="16" t="s">
        <v>51</v>
      </c>
      <c r="C16" s="19" t="s">
        <v>52</v>
      </c>
      <c r="D16" s="16" t="s">
        <v>28</v>
      </c>
      <c r="E16" s="16" t="s">
        <v>77</v>
      </c>
      <c r="F16" s="20">
        <v>45778.0</v>
      </c>
      <c r="G16" s="19">
        <v>148457.0</v>
      </c>
      <c r="H16" s="21">
        <v>45819.0</v>
      </c>
      <c r="I16" s="22">
        <v>200222.04</v>
      </c>
      <c r="J16" s="19" t="s">
        <v>85</v>
      </c>
      <c r="K16" s="21">
        <v>45864.0</v>
      </c>
      <c r="L16" s="17" t="s">
        <v>90</v>
      </c>
      <c r="M16" s="23" t="s">
        <v>91</v>
      </c>
    </row>
    <row r="17">
      <c r="A17" s="17" t="s">
        <v>76</v>
      </c>
      <c r="B17" s="16" t="s">
        <v>62</v>
      </c>
      <c r="C17" s="19" t="s">
        <v>63</v>
      </c>
      <c r="D17" s="16" t="s">
        <v>64</v>
      </c>
      <c r="E17" s="16" t="s">
        <v>86</v>
      </c>
      <c r="F17" s="20">
        <v>45717.0</v>
      </c>
      <c r="G17" s="19">
        <v>763.0</v>
      </c>
      <c r="H17" s="21">
        <v>45755.0</v>
      </c>
      <c r="I17" s="22">
        <v>41333.04</v>
      </c>
      <c r="J17" s="19" t="s">
        <v>89</v>
      </c>
      <c r="K17" s="21">
        <v>45785.0</v>
      </c>
      <c r="L17" s="17" t="s">
        <v>7</v>
      </c>
      <c r="M17" s="23" t="s">
        <v>8</v>
      </c>
    </row>
    <row r="18">
      <c r="A18" s="17" t="s">
        <v>76</v>
      </c>
      <c r="B18" s="16" t="s">
        <v>62</v>
      </c>
      <c r="C18" s="19" t="s">
        <v>63</v>
      </c>
      <c r="D18" s="16" t="s">
        <v>64</v>
      </c>
      <c r="E18" s="16" t="s">
        <v>86</v>
      </c>
      <c r="F18" s="20">
        <v>45778.0</v>
      </c>
      <c r="G18" s="19">
        <v>883.0</v>
      </c>
      <c r="H18" s="21">
        <v>45818.0</v>
      </c>
      <c r="I18" s="22">
        <v>38556.0</v>
      </c>
      <c r="J18" s="19" t="s">
        <v>85</v>
      </c>
      <c r="K18" s="21">
        <v>45848.0</v>
      </c>
      <c r="L18" s="17" t="s">
        <v>7</v>
      </c>
      <c r="M18" s="23" t="s">
        <v>8</v>
      </c>
    </row>
    <row r="19">
      <c r="A19" s="17" t="s">
        <v>76</v>
      </c>
      <c r="B19" s="16" t="s">
        <v>62</v>
      </c>
      <c r="C19" s="19" t="s">
        <v>63</v>
      </c>
      <c r="D19" s="16" t="s">
        <v>64</v>
      </c>
      <c r="E19" s="16" t="s">
        <v>86</v>
      </c>
      <c r="F19" s="20">
        <v>45778.0</v>
      </c>
      <c r="G19" s="19">
        <v>884.0</v>
      </c>
      <c r="H19" s="21">
        <v>45818.0</v>
      </c>
      <c r="I19" s="22">
        <v>54864.69</v>
      </c>
      <c r="J19" s="19" t="s">
        <v>85</v>
      </c>
      <c r="K19" s="21">
        <v>45848.0</v>
      </c>
      <c r="L19" s="17" t="s">
        <v>7</v>
      </c>
      <c r="M19" s="23" t="s">
        <v>8</v>
      </c>
    </row>
    <row r="20">
      <c r="A20" s="17" t="s">
        <v>76</v>
      </c>
      <c r="B20" s="16" t="s">
        <v>51</v>
      </c>
      <c r="C20" s="19" t="s">
        <v>52</v>
      </c>
      <c r="D20" s="16" t="s">
        <v>28</v>
      </c>
      <c r="E20" s="16" t="s">
        <v>86</v>
      </c>
      <c r="F20" s="20">
        <v>45809.0</v>
      </c>
      <c r="G20" s="19">
        <v>149204.0</v>
      </c>
      <c r="H20" s="21">
        <v>45846.0</v>
      </c>
      <c r="I20" s="22">
        <v>115880.7</v>
      </c>
      <c r="J20" s="19" t="s">
        <v>93</v>
      </c>
      <c r="K20" s="21">
        <v>45891.0</v>
      </c>
      <c r="L20" s="17" t="s">
        <v>7</v>
      </c>
      <c r="M20" s="23" t="s">
        <v>8</v>
      </c>
    </row>
    <row r="21">
      <c r="A21" s="17" t="s">
        <v>76</v>
      </c>
      <c r="B21" s="16" t="s">
        <v>51</v>
      </c>
      <c r="C21" s="19" t="s">
        <v>52</v>
      </c>
      <c r="D21" s="16" t="s">
        <v>28</v>
      </c>
      <c r="E21" s="16" t="s">
        <v>77</v>
      </c>
      <c r="F21" s="20">
        <v>45809.0</v>
      </c>
      <c r="G21" s="19">
        <v>149200.0</v>
      </c>
      <c r="H21" s="21">
        <v>45846.0</v>
      </c>
      <c r="I21" s="22">
        <v>104949.36</v>
      </c>
      <c r="J21" s="19" t="s">
        <v>93</v>
      </c>
      <c r="K21" s="21">
        <v>45891.0</v>
      </c>
      <c r="L21" s="19"/>
      <c r="M21" s="23"/>
    </row>
    <row r="22">
      <c r="A22" s="17" t="s">
        <v>76</v>
      </c>
      <c r="B22" s="16" t="s">
        <v>51</v>
      </c>
      <c r="C22" s="19" t="s">
        <v>52</v>
      </c>
      <c r="D22" s="16" t="s">
        <v>28</v>
      </c>
      <c r="E22" s="16" t="s">
        <v>77</v>
      </c>
      <c r="F22" s="20">
        <v>45809.0</v>
      </c>
      <c r="G22" s="19">
        <v>149207.0</v>
      </c>
      <c r="H22" s="21">
        <v>45846.0</v>
      </c>
      <c r="I22" s="22">
        <v>52130.88</v>
      </c>
      <c r="J22" s="19" t="s">
        <v>93</v>
      </c>
      <c r="K22" s="21">
        <v>45891.0</v>
      </c>
      <c r="L22" s="19"/>
      <c r="M22" s="23"/>
    </row>
    <row r="23">
      <c r="A23" s="17" t="s">
        <v>76</v>
      </c>
      <c r="B23" s="16" t="s">
        <v>62</v>
      </c>
      <c r="C23" s="19" t="s">
        <v>63</v>
      </c>
      <c r="D23" s="16" t="s">
        <v>64</v>
      </c>
      <c r="E23" s="16" t="s">
        <v>86</v>
      </c>
      <c r="F23" s="20">
        <v>45809.0</v>
      </c>
      <c r="G23" s="19">
        <v>959.0</v>
      </c>
      <c r="H23" s="21">
        <v>45849.0</v>
      </c>
      <c r="I23" s="22">
        <v>38556.0</v>
      </c>
      <c r="J23" s="19" t="s">
        <v>93</v>
      </c>
      <c r="K23" s="21">
        <v>45880.0</v>
      </c>
      <c r="L23" s="17" t="s">
        <v>7</v>
      </c>
      <c r="M23" s="23" t="s">
        <v>8</v>
      </c>
    </row>
    <row r="24">
      <c r="A24" s="17" t="s">
        <v>76</v>
      </c>
      <c r="B24" s="16" t="s">
        <v>62</v>
      </c>
      <c r="C24" s="19" t="s">
        <v>63</v>
      </c>
      <c r="D24" s="16" t="s">
        <v>64</v>
      </c>
      <c r="E24" s="16" t="s">
        <v>86</v>
      </c>
      <c r="F24" s="20">
        <v>45809.0</v>
      </c>
      <c r="G24" s="19">
        <v>960.0</v>
      </c>
      <c r="H24" s="21">
        <v>45849.0</v>
      </c>
      <c r="I24" s="22">
        <v>41333.04</v>
      </c>
      <c r="J24" s="19" t="s">
        <v>93</v>
      </c>
      <c r="K24" s="21">
        <v>45880.0</v>
      </c>
      <c r="L24" s="17" t="s">
        <v>7</v>
      </c>
      <c r="M24" s="23" t="s">
        <v>8</v>
      </c>
    </row>
    <row r="25">
      <c r="A25" s="17" t="s">
        <v>76</v>
      </c>
      <c r="B25" s="16" t="s">
        <v>65</v>
      </c>
      <c r="C25" s="19" t="s">
        <v>66</v>
      </c>
      <c r="D25" s="16" t="s">
        <v>19</v>
      </c>
      <c r="E25" s="16" t="s">
        <v>86</v>
      </c>
      <c r="F25" s="20">
        <v>45809.0</v>
      </c>
      <c r="G25" s="19">
        <v>2937.0</v>
      </c>
      <c r="H25" s="21">
        <v>45845.0</v>
      </c>
      <c r="I25" s="22">
        <v>297661.94</v>
      </c>
      <c r="J25" s="19" t="s">
        <v>93</v>
      </c>
      <c r="K25" s="21">
        <v>45905.0</v>
      </c>
      <c r="L25" s="17" t="s">
        <v>7</v>
      </c>
      <c r="M25" s="23" t="s">
        <v>8</v>
      </c>
    </row>
    <row r="26">
      <c r="A26" s="17" t="s">
        <v>76</v>
      </c>
      <c r="B26" s="16" t="s">
        <v>65</v>
      </c>
      <c r="C26" s="19" t="s">
        <v>66</v>
      </c>
      <c r="D26" s="16" t="s">
        <v>19</v>
      </c>
      <c r="E26" s="16" t="s">
        <v>77</v>
      </c>
      <c r="F26" s="20">
        <v>45809.0</v>
      </c>
      <c r="G26" s="19">
        <v>2947.0</v>
      </c>
      <c r="H26" s="21">
        <v>45848.0</v>
      </c>
      <c r="I26" s="22">
        <v>31754.33</v>
      </c>
      <c r="J26" s="19" t="s">
        <v>93</v>
      </c>
      <c r="K26" s="21">
        <v>45908.0</v>
      </c>
      <c r="L26" s="17" t="s">
        <v>14</v>
      </c>
      <c r="M26" s="23" t="s">
        <v>15</v>
      </c>
    </row>
    <row r="27">
      <c r="A27" s="17" t="s">
        <v>84</v>
      </c>
      <c r="B27" s="16" t="s">
        <v>51</v>
      </c>
      <c r="C27" s="19" t="s">
        <v>52</v>
      </c>
      <c r="D27" s="16" t="s">
        <v>28</v>
      </c>
      <c r="E27" s="16" t="s">
        <v>86</v>
      </c>
      <c r="F27" s="20">
        <v>45839.0</v>
      </c>
      <c r="G27" s="17">
        <v>149983.0</v>
      </c>
      <c r="H27" s="21">
        <v>45874.0</v>
      </c>
      <c r="I27" s="22">
        <v>87082.32</v>
      </c>
      <c r="J27" s="19" t="s">
        <v>94</v>
      </c>
      <c r="K27" s="21">
        <v>45919.0</v>
      </c>
      <c r="L27" s="17" t="s">
        <v>7</v>
      </c>
      <c r="M27" s="23" t="s">
        <v>8</v>
      </c>
    </row>
    <row r="28">
      <c r="A28" s="17" t="s">
        <v>76</v>
      </c>
      <c r="B28" s="16" t="s">
        <v>51</v>
      </c>
      <c r="C28" s="19" t="s">
        <v>52</v>
      </c>
      <c r="D28" s="16" t="s">
        <v>28</v>
      </c>
      <c r="E28" s="16" t="s">
        <v>86</v>
      </c>
      <c r="F28" s="20">
        <v>45839.0</v>
      </c>
      <c r="G28" s="19">
        <v>149984.0</v>
      </c>
      <c r="H28" s="21">
        <v>45874.0</v>
      </c>
      <c r="I28" s="22">
        <v>114058.86</v>
      </c>
      <c r="J28" s="19" t="s">
        <v>94</v>
      </c>
      <c r="K28" s="21">
        <v>45919.0</v>
      </c>
      <c r="L28" s="17" t="s">
        <v>7</v>
      </c>
      <c r="M28" s="23" t="s">
        <v>8</v>
      </c>
    </row>
    <row r="29">
      <c r="A29" s="17" t="s">
        <v>84</v>
      </c>
      <c r="B29" s="16" t="s">
        <v>51</v>
      </c>
      <c r="C29" s="19" t="s">
        <v>52</v>
      </c>
      <c r="D29" s="16" t="s">
        <v>28</v>
      </c>
      <c r="E29" s="16" t="s">
        <v>77</v>
      </c>
      <c r="F29" s="20">
        <v>45839.0</v>
      </c>
      <c r="G29" s="17">
        <v>149989.0</v>
      </c>
      <c r="H29" s="21">
        <v>45874.0</v>
      </c>
      <c r="I29" s="22">
        <v>46181.16</v>
      </c>
      <c r="J29" s="19" t="s">
        <v>94</v>
      </c>
      <c r="K29" s="21">
        <v>45919.0</v>
      </c>
      <c r="L29" s="17" t="s">
        <v>14</v>
      </c>
      <c r="M29" s="23" t="s">
        <v>15</v>
      </c>
    </row>
    <row r="30">
      <c r="A30" s="17" t="s">
        <v>84</v>
      </c>
      <c r="B30" s="16" t="s">
        <v>62</v>
      </c>
      <c r="C30" s="19" t="s">
        <v>63</v>
      </c>
      <c r="D30" s="16" t="s">
        <v>64</v>
      </c>
      <c r="E30" s="16" t="s">
        <v>86</v>
      </c>
      <c r="F30" s="20">
        <v>45839.0</v>
      </c>
      <c r="G30" s="17">
        <v>1023.0</v>
      </c>
      <c r="H30" s="21">
        <v>45876.0</v>
      </c>
      <c r="I30" s="22">
        <v>25704.0</v>
      </c>
      <c r="J30" s="19" t="s">
        <v>94</v>
      </c>
      <c r="K30" s="21">
        <v>45908.0</v>
      </c>
      <c r="L30" s="17" t="s">
        <v>7</v>
      </c>
      <c r="M30" s="23" t="s">
        <v>8</v>
      </c>
    </row>
    <row r="31">
      <c r="A31" s="17" t="s">
        <v>76</v>
      </c>
      <c r="B31" s="16" t="s">
        <v>65</v>
      </c>
      <c r="C31" s="19" t="s">
        <v>66</v>
      </c>
      <c r="D31" s="16" t="s">
        <v>19</v>
      </c>
      <c r="E31" s="16" t="s">
        <v>77</v>
      </c>
      <c r="F31" s="20">
        <v>45839.0</v>
      </c>
      <c r="G31" s="19">
        <v>2978.0</v>
      </c>
      <c r="H31" s="21">
        <v>45874.0</v>
      </c>
      <c r="I31" s="22">
        <v>32224.0</v>
      </c>
      <c r="J31" s="19" t="s">
        <v>94</v>
      </c>
      <c r="K31" s="21">
        <v>45934.0</v>
      </c>
      <c r="L31" s="17" t="s">
        <v>14</v>
      </c>
      <c r="M31" s="23" t="s">
        <v>15</v>
      </c>
    </row>
    <row r="32">
      <c r="A32" s="17" t="s">
        <v>84</v>
      </c>
      <c r="B32" s="16" t="s">
        <v>62</v>
      </c>
      <c r="C32" s="19" t="s">
        <v>63</v>
      </c>
      <c r="D32" s="16" t="s">
        <v>64</v>
      </c>
      <c r="E32" s="16" t="s">
        <v>86</v>
      </c>
      <c r="F32" s="20">
        <v>45839.0</v>
      </c>
      <c r="G32" s="17">
        <v>1024.0</v>
      </c>
      <c r="H32" s="21">
        <v>45876.0</v>
      </c>
      <c r="I32" s="22">
        <v>11809.44</v>
      </c>
      <c r="J32" s="19" t="s">
        <v>94</v>
      </c>
      <c r="K32" s="21">
        <v>45908.0</v>
      </c>
      <c r="L32" s="17" t="s">
        <v>7</v>
      </c>
      <c r="M32" s="23" t="s">
        <v>8</v>
      </c>
    </row>
    <row r="33">
      <c r="A33" s="17" t="s">
        <v>84</v>
      </c>
      <c r="B33" s="16" t="s">
        <v>65</v>
      </c>
      <c r="C33" s="19" t="s">
        <v>66</v>
      </c>
      <c r="D33" s="16" t="s">
        <v>19</v>
      </c>
      <c r="E33" s="16" t="s">
        <v>77</v>
      </c>
      <c r="F33" s="20">
        <v>45839.0</v>
      </c>
      <c r="G33" s="17">
        <v>2977.0</v>
      </c>
      <c r="H33" s="21">
        <v>45874.0</v>
      </c>
      <c r="I33" s="22">
        <v>276726.81</v>
      </c>
      <c r="J33" s="19" t="s">
        <v>94</v>
      </c>
      <c r="K33" s="21">
        <v>45934.0</v>
      </c>
      <c r="L33" s="17" t="s">
        <v>14</v>
      </c>
      <c r="M33" s="23" t="s">
        <v>15</v>
      </c>
    </row>
    <row r="34">
      <c r="A34" s="17" t="s">
        <v>76</v>
      </c>
      <c r="B34" s="16" t="s">
        <v>62</v>
      </c>
      <c r="C34" s="19" t="s">
        <v>63</v>
      </c>
      <c r="D34" s="16" t="s">
        <v>64</v>
      </c>
      <c r="E34" s="16" t="s">
        <v>86</v>
      </c>
      <c r="F34" s="20">
        <v>45839.0</v>
      </c>
      <c r="G34" s="19">
        <v>1043.0</v>
      </c>
      <c r="H34" s="21">
        <v>45883.0</v>
      </c>
      <c r="I34" s="22">
        <v>37513.44</v>
      </c>
      <c r="J34" s="19" t="s">
        <v>94</v>
      </c>
      <c r="K34" s="21">
        <v>45908.0</v>
      </c>
      <c r="L34" s="17" t="s">
        <v>7</v>
      </c>
      <c r="M34" s="23" t="s">
        <v>8</v>
      </c>
    </row>
    <row r="35">
      <c r="A35" s="17" t="s">
        <v>76</v>
      </c>
      <c r="B35" s="16" t="s">
        <v>65</v>
      </c>
      <c r="C35" s="19" t="s">
        <v>66</v>
      </c>
      <c r="D35" s="16" t="s">
        <v>19</v>
      </c>
      <c r="E35" s="16" t="s">
        <v>77</v>
      </c>
      <c r="F35" s="20">
        <v>45839.0</v>
      </c>
      <c r="G35" s="19">
        <v>3003.0</v>
      </c>
      <c r="H35" s="21">
        <v>45888.0</v>
      </c>
      <c r="I35" s="22">
        <v>127957.66</v>
      </c>
      <c r="J35" s="19" t="s">
        <v>94</v>
      </c>
      <c r="K35" s="21">
        <v>45934.0</v>
      </c>
      <c r="L35" s="17" t="s">
        <v>10</v>
      </c>
      <c r="M35" s="23" t="s">
        <v>11</v>
      </c>
    </row>
    <row r="36">
      <c r="A36" s="17" t="s">
        <v>76</v>
      </c>
      <c r="B36" s="16" t="s">
        <v>65</v>
      </c>
      <c r="C36" s="19" t="s">
        <v>66</v>
      </c>
      <c r="D36" s="16" t="s">
        <v>19</v>
      </c>
      <c r="E36" s="16" t="s">
        <v>77</v>
      </c>
      <c r="F36" s="20">
        <v>45839.0</v>
      </c>
      <c r="G36" s="19">
        <v>3004.0</v>
      </c>
      <c r="H36" s="21">
        <v>45888.0</v>
      </c>
      <c r="I36" s="22">
        <v>114759.2</v>
      </c>
      <c r="J36" s="19" t="s">
        <v>94</v>
      </c>
      <c r="K36" s="21">
        <v>45934.0</v>
      </c>
      <c r="L36" s="17" t="s">
        <v>14</v>
      </c>
      <c r="M36" s="23" t="s">
        <v>15</v>
      </c>
    </row>
    <row r="37">
      <c r="A37" s="17" t="s">
        <v>76</v>
      </c>
      <c r="B37" s="16" t="s">
        <v>65</v>
      </c>
      <c r="C37" s="19" t="s">
        <v>66</v>
      </c>
      <c r="D37" s="16" t="s">
        <v>19</v>
      </c>
      <c r="E37" s="16" t="s">
        <v>77</v>
      </c>
      <c r="F37" s="20">
        <v>45839.0</v>
      </c>
      <c r="G37" s="19">
        <v>3005.0</v>
      </c>
      <c r="H37" s="21">
        <v>45888.0</v>
      </c>
      <c r="I37" s="22">
        <v>34009.95</v>
      </c>
      <c r="J37" s="19" t="s">
        <v>94</v>
      </c>
      <c r="K37" s="21">
        <v>45934.0</v>
      </c>
      <c r="L37" s="17" t="s">
        <v>14</v>
      </c>
      <c r="M37" s="23" t="s">
        <v>15</v>
      </c>
    </row>
    <row r="38">
      <c r="A38" s="17" t="s">
        <v>76</v>
      </c>
      <c r="B38" s="16" t="s">
        <v>51</v>
      </c>
      <c r="C38" s="19" t="s">
        <v>52</v>
      </c>
      <c r="D38" s="16" t="s">
        <v>28</v>
      </c>
      <c r="E38" s="16" t="s">
        <v>86</v>
      </c>
      <c r="F38" s="20">
        <v>45839.0</v>
      </c>
      <c r="G38" s="19">
        <v>150488.0</v>
      </c>
      <c r="H38" s="21">
        <v>45889.0</v>
      </c>
      <c r="I38" s="22">
        <v>87082.32</v>
      </c>
      <c r="J38" s="19" t="s">
        <v>94</v>
      </c>
      <c r="K38" s="21">
        <v>45919.0</v>
      </c>
      <c r="L38" s="17" t="s">
        <v>7</v>
      </c>
      <c r="M38" s="23" t="s">
        <v>8</v>
      </c>
    </row>
    <row r="39">
      <c r="A39" s="17" t="s">
        <v>76</v>
      </c>
      <c r="B39" s="16" t="s">
        <v>51</v>
      </c>
      <c r="C39" s="19" t="s">
        <v>52</v>
      </c>
      <c r="D39" s="16" t="s">
        <v>28</v>
      </c>
      <c r="E39" s="16" t="s">
        <v>77</v>
      </c>
      <c r="F39" s="20">
        <v>45839.0</v>
      </c>
      <c r="G39" s="19">
        <v>150491.0</v>
      </c>
      <c r="H39" s="21">
        <v>45889.0</v>
      </c>
      <c r="I39" s="22">
        <v>46181.16</v>
      </c>
      <c r="J39" s="19" t="s">
        <v>94</v>
      </c>
      <c r="K39" s="21">
        <v>45919.0</v>
      </c>
      <c r="L39" s="17" t="s">
        <v>14</v>
      </c>
      <c r="M39" s="23" t="s">
        <v>15</v>
      </c>
    </row>
    <row r="40">
      <c r="A40" s="17" t="s">
        <v>76</v>
      </c>
      <c r="B40" s="16" t="s">
        <v>65</v>
      </c>
      <c r="C40" s="19" t="s">
        <v>66</v>
      </c>
      <c r="D40" s="16" t="s">
        <v>19</v>
      </c>
      <c r="E40" s="16" t="s">
        <v>77</v>
      </c>
      <c r="F40" s="20">
        <v>45778.0</v>
      </c>
      <c r="G40" s="19">
        <v>2909.0</v>
      </c>
      <c r="H40" s="21">
        <v>45825.0</v>
      </c>
      <c r="I40" s="22">
        <v>22556.8</v>
      </c>
      <c r="J40" s="19" t="s">
        <v>85</v>
      </c>
      <c r="K40" s="21">
        <v>45885.0</v>
      </c>
      <c r="L40" s="17" t="s">
        <v>14</v>
      </c>
      <c r="M40" s="23" t="s">
        <v>15</v>
      </c>
    </row>
    <row r="41">
      <c r="A41" s="17" t="s">
        <v>76</v>
      </c>
      <c r="B41" s="16" t="s">
        <v>65</v>
      </c>
      <c r="C41" s="19" t="s">
        <v>66</v>
      </c>
      <c r="D41" s="16" t="s">
        <v>19</v>
      </c>
      <c r="E41" s="16" t="s">
        <v>77</v>
      </c>
      <c r="F41" s="20">
        <v>45778.0</v>
      </c>
      <c r="G41" s="19">
        <v>2910.0</v>
      </c>
      <c r="H41" s="21">
        <v>45825.0</v>
      </c>
      <c r="I41" s="22">
        <v>9667.2</v>
      </c>
      <c r="J41" s="19" t="s">
        <v>85</v>
      </c>
      <c r="K41" s="21">
        <v>45885.0</v>
      </c>
      <c r="L41" s="17" t="s">
        <v>14</v>
      </c>
      <c r="M41" s="23" t="s">
        <v>15</v>
      </c>
    </row>
    <row r="42">
      <c r="A42" s="17" t="s">
        <v>76</v>
      </c>
      <c r="B42" s="16" t="s">
        <v>51</v>
      </c>
      <c r="C42" s="19" t="s">
        <v>52</v>
      </c>
      <c r="D42" s="16" t="s">
        <v>28</v>
      </c>
      <c r="E42" s="16" t="s">
        <v>86</v>
      </c>
      <c r="F42" s="20">
        <v>45778.0</v>
      </c>
      <c r="G42" s="19">
        <v>148459.0</v>
      </c>
      <c r="H42" s="21">
        <v>45819.0</v>
      </c>
      <c r="I42" s="22">
        <v>47597.76</v>
      </c>
      <c r="J42" s="19" t="s">
        <v>85</v>
      </c>
      <c r="K42" s="21">
        <v>45864.0</v>
      </c>
      <c r="L42" s="17" t="s">
        <v>7</v>
      </c>
      <c r="M42" s="23" t="s">
        <v>8</v>
      </c>
    </row>
    <row r="43">
      <c r="A43" s="17" t="s">
        <v>76</v>
      </c>
      <c r="B43" s="16" t="s">
        <v>51</v>
      </c>
      <c r="C43" s="19" t="s">
        <v>52</v>
      </c>
      <c r="D43" s="16" t="s">
        <v>28</v>
      </c>
      <c r="E43" s="16" t="s">
        <v>86</v>
      </c>
      <c r="F43" s="20">
        <v>45778.0</v>
      </c>
      <c r="G43" s="19">
        <v>148460.0</v>
      </c>
      <c r="H43" s="21">
        <v>45819.0</v>
      </c>
      <c r="I43" s="22">
        <v>18655.56</v>
      </c>
      <c r="J43" s="19" t="s">
        <v>85</v>
      </c>
      <c r="K43" s="21">
        <v>45864.0</v>
      </c>
      <c r="L43" s="17" t="s">
        <v>7</v>
      </c>
      <c r="M43" s="23" t="s">
        <v>8</v>
      </c>
    </row>
    <row r="44">
      <c r="A44" s="17" t="s">
        <v>76</v>
      </c>
      <c r="B44" s="16" t="s">
        <v>51</v>
      </c>
      <c r="C44" s="19" t="s">
        <v>52</v>
      </c>
      <c r="D44" s="16" t="s">
        <v>28</v>
      </c>
      <c r="E44" s="16" t="s">
        <v>86</v>
      </c>
      <c r="F44" s="20">
        <v>45778.0</v>
      </c>
      <c r="G44" s="19">
        <v>148461.0</v>
      </c>
      <c r="H44" s="21">
        <v>45819.0</v>
      </c>
      <c r="I44" s="22">
        <v>18655.56</v>
      </c>
      <c r="J44" s="19" t="s">
        <v>85</v>
      </c>
      <c r="K44" s="21">
        <v>45864.0</v>
      </c>
      <c r="L44" s="17" t="s">
        <v>7</v>
      </c>
      <c r="M44" s="23" t="s">
        <v>8</v>
      </c>
    </row>
    <row r="45">
      <c r="A45" s="17" t="s">
        <v>76</v>
      </c>
      <c r="B45" s="16" t="s">
        <v>51</v>
      </c>
      <c r="C45" s="19" t="s">
        <v>52</v>
      </c>
      <c r="D45" s="16" t="s">
        <v>28</v>
      </c>
      <c r="E45" s="16" t="s">
        <v>86</v>
      </c>
      <c r="F45" s="20">
        <v>45809.0</v>
      </c>
      <c r="G45" s="19">
        <v>149202.0</v>
      </c>
      <c r="H45" s="21">
        <v>45846.0</v>
      </c>
      <c r="I45" s="22">
        <v>47597.76</v>
      </c>
      <c r="J45" s="19" t="s">
        <v>93</v>
      </c>
      <c r="K45" s="21">
        <v>45891.0</v>
      </c>
      <c r="L45" s="17" t="s">
        <v>7</v>
      </c>
      <c r="M45" s="23" t="s">
        <v>8</v>
      </c>
    </row>
    <row r="46">
      <c r="A46" s="17" t="s">
        <v>76</v>
      </c>
      <c r="B46" s="16" t="s">
        <v>51</v>
      </c>
      <c r="C46" s="19" t="s">
        <v>52</v>
      </c>
      <c r="D46" s="16" t="s">
        <v>28</v>
      </c>
      <c r="E46" s="16" t="s">
        <v>86</v>
      </c>
      <c r="F46" s="20">
        <v>45809.0</v>
      </c>
      <c r="G46" s="19">
        <v>149203.0</v>
      </c>
      <c r="H46" s="21">
        <v>45846.0</v>
      </c>
      <c r="I46" s="22">
        <v>37311.12</v>
      </c>
      <c r="J46" s="19" t="s">
        <v>93</v>
      </c>
      <c r="K46" s="21">
        <v>45891.0</v>
      </c>
      <c r="L46" s="17" t="s">
        <v>7</v>
      </c>
      <c r="M46" s="23" t="s">
        <v>8</v>
      </c>
    </row>
    <row r="47">
      <c r="A47" s="17" t="s">
        <v>76</v>
      </c>
      <c r="B47" s="16" t="s">
        <v>59</v>
      </c>
      <c r="C47" s="19" t="s">
        <v>60</v>
      </c>
      <c r="D47" s="16" t="s">
        <v>61</v>
      </c>
      <c r="E47" s="16" t="s">
        <v>77</v>
      </c>
      <c r="F47" s="20">
        <v>45778.0</v>
      </c>
      <c r="G47" s="19">
        <v>15132.0</v>
      </c>
      <c r="H47" s="21">
        <v>45818.0</v>
      </c>
      <c r="I47" s="22">
        <v>17005.27</v>
      </c>
      <c r="J47" s="19" t="s">
        <v>85</v>
      </c>
      <c r="K47" s="21">
        <v>45843.0</v>
      </c>
      <c r="L47" s="17" t="s">
        <v>79</v>
      </c>
      <c r="M47" s="23" t="s">
        <v>80</v>
      </c>
    </row>
    <row r="48">
      <c r="A48" s="17" t="s">
        <v>76</v>
      </c>
      <c r="B48" s="16" t="s">
        <v>59</v>
      </c>
      <c r="C48" s="19" t="s">
        <v>60</v>
      </c>
      <c r="D48" s="16" t="s">
        <v>61</v>
      </c>
      <c r="E48" s="16" t="s">
        <v>77</v>
      </c>
      <c r="F48" s="20">
        <v>45778.0</v>
      </c>
      <c r="G48" s="19">
        <v>15133.0</v>
      </c>
      <c r="H48" s="21">
        <v>45818.0</v>
      </c>
      <c r="I48" s="22">
        <v>6802.11</v>
      </c>
      <c r="J48" s="19" t="s">
        <v>85</v>
      </c>
      <c r="K48" s="21">
        <v>45843.0</v>
      </c>
      <c r="L48" s="17" t="s">
        <v>79</v>
      </c>
      <c r="M48" s="23" t="s">
        <v>80</v>
      </c>
    </row>
    <row r="49">
      <c r="A49" s="17" t="s">
        <v>76</v>
      </c>
      <c r="B49" s="16" t="s">
        <v>59</v>
      </c>
      <c r="C49" s="19" t="s">
        <v>60</v>
      </c>
      <c r="D49" s="16" t="s">
        <v>61</v>
      </c>
      <c r="E49" s="16" t="s">
        <v>77</v>
      </c>
      <c r="F49" s="20">
        <v>45778.0</v>
      </c>
      <c r="G49" s="19">
        <v>15134.0</v>
      </c>
      <c r="H49" s="21">
        <v>45818.0</v>
      </c>
      <c r="I49" s="22">
        <v>10203.16</v>
      </c>
      <c r="J49" s="19" t="s">
        <v>85</v>
      </c>
      <c r="K49" s="21">
        <v>45843.0</v>
      </c>
      <c r="L49" s="17" t="s">
        <v>79</v>
      </c>
      <c r="M49" s="23" t="s">
        <v>80</v>
      </c>
    </row>
    <row r="50">
      <c r="A50" s="17" t="s">
        <v>76</v>
      </c>
      <c r="B50" s="16" t="s">
        <v>59</v>
      </c>
      <c r="C50" s="19" t="s">
        <v>60</v>
      </c>
      <c r="D50" s="16" t="s">
        <v>61</v>
      </c>
      <c r="E50" s="16" t="s">
        <v>77</v>
      </c>
      <c r="F50" s="20">
        <v>45809.0</v>
      </c>
      <c r="G50" s="19">
        <v>15175.0</v>
      </c>
      <c r="H50" s="21">
        <v>45839.0</v>
      </c>
      <c r="I50" s="22">
        <v>35794.67</v>
      </c>
      <c r="J50" s="19" t="s">
        <v>93</v>
      </c>
      <c r="K50" s="21">
        <v>45869.0</v>
      </c>
      <c r="L50" s="17" t="s">
        <v>14</v>
      </c>
      <c r="M50" s="23" t="s">
        <v>15</v>
      </c>
    </row>
    <row r="51">
      <c r="A51" s="17" t="s">
        <v>76</v>
      </c>
      <c r="B51" s="16" t="s">
        <v>53</v>
      </c>
      <c r="C51" s="19" t="s">
        <v>54</v>
      </c>
      <c r="D51" s="16" t="s">
        <v>55</v>
      </c>
      <c r="E51" s="16" t="s">
        <v>77</v>
      </c>
      <c r="F51" s="20">
        <v>45778.0</v>
      </c>
      <c r="G51" s="19">
        <v>22854.0</v>
      </c>
      <c r="H51" s="21">
        <v>45821.0</v>
      </c>
      <c r="I51" s="22">
        <v>39951.87</v>
      </c>
      <c r="J51" s="19" t="s">
        <v>85</v>
      </c>
      <c r="K51" s="21">
        <v>45881.0</v>
      </c>
      <c r="L51" s="17" t="s">
        <v>90</v>
      </c>
      <c r="M51" s="23" t="s">
        <v>91</v>
      </c>
    </row>
    <row r="52">
      <c r="A52" s="17" t="s">
        <v>76</v>
      </c>
      <c r="B52" s="16" t="s">
        <v>53</v>
      </c>
      <c r="C52" s="19" t="s">
        <v>54</v>
      </c>
      <c r="D52" s="16" t="s">
        <v>55</v>
      </c>
      <c r="E52" s="16" t="s">
        <v>86</v>
      </c>
      <c r="F52" s="20">
        <v>45809.0</v>
      </c>
      <c r="G52" s="19">
        <v>23323.0</v>
      </c>
      <c r="H52" s="21">
        <v>45852.0</v>
      </c>
      <c r="I52" s="22">
        <v>20351.56</v>
      </c>
      <c r="J52" s="19" t="s">
        <v>93</v>
      </c>
      <c r="K52" s="21">
        <v>45912.0</v>
      </c>
      <c r="L52" s="17" t="s">
        <v>7</v>
      </c>
      <c r="M52" s="23" t="s">
        <v>8</v>
      </c>
    </row>
    <row r="53">
      <c r="A53" s="17" t="s">
        <v>76</v>
      </c>
      <c r="B53" s="16" t="s">
        <v>51</v>
      </c>
      <c r="C53" s="19" t="s">
        <v>52</v>
      </c>
      <c r="D53" s="16" t="s">
        <v>28</v>
      </c>
      <c r="E53" s="16" t="s">
        <v>86</v>
      </c>
      <c r="F53" s="20">
        <v>45839.0</v>
      </c>
      <c r="G53" s="19">
        <v>149980.0</v>
      </c>
      <c r="H53" s="21">
        <v>45874.0</v>
      </c>
      <c r="I53" s="22">
        <v>45331.2</v>
      </c>
      <c r="J53" s="19" t="s">
        <v>94</v>
      </c>
      <c r="K53" s="21">
        <v>45919.0</v>
      </c>
      <c r="L53" s="17" t="s">
        <v>7</v>
      </c>
      <c r="M53" s="23" t="s">
        <v>8</v>
      </c>
    </row>
    <row r="54">
      <c r="A54" s="17" t="s">
        <v>76</v>
      </c>
      <c r="B54" s="16" t="s">
        <v>51</v>
      </c>
      <c r="C54" s="19" t="s">
        <v>52</v>
      </c>
      <c r="D54" s="16" t="s">
        <v>28</v>
      </c>
      <c r="E54" s="16" t="s">
        <v>86</v>
      </c>
      <c r="F54" s="20">
        <v>45839.0</v>
      </c>
      <c r="G54" s="19">
        <v>149981.0</v>
      </c>
      <c r="H54" s="21">
        <v>45874.0</v>
      </c>
      <c r="I54" s="22">
        <v>35534.4</v>
      </c>
      <c r="J54" s="19" t="s">
        <v>94</v>
      </c>
      <c r="K54" s="21">
        <v>45919.0</v>
      </c>
      <c r="L54" s="17" t="s">
        <v>7</v>
      </c>
      <c r="M54" s="23" t="s">
        <v>8</v>
      </c>
    </row>
    <row r="55">
      <c r="A55" s="17" t="s">
        <v>76</v>
      </c>
      <c r="B55" s="16" t="s">
        <v>59</v>
      </c>
      <c r="C55" s="19" t="s">
        <v>60</v>
      </c>
      <c r="D55" s="16" t="s">
        <v>61</v>
      </c>
      <c r="E55" s="16" t="s">
        <v>77</v>
      </c>
      <c r="F55" s="20">
        <v>45839.0</v>
      </c>
      <c r="G55" s="19">
        <v>15306.0</v>
      </c>
      <c r="H55" s="21">
        <v>45870.0</v>
      </c>
      <c r="I55" s="22">
        <v>32770.31</v>
      </c>
      <c r="J55" s="19" t="s">
        <v>94</v>
      </c>
      <c r="K55" s="21">
        <v>45900.0</v>
      </c>
      <c r="L55" s="17" t="s">
        <v>14</v>
      </c>
      <c r="M55" s="23" t="s">
        <v>15</v>
      </c>
    </row>
    <row r="56">
      <c r="A56" s="17" t="s">
        <v>76</v>
      </c>
      <c r="B56" s="16" t="s">
        <v>53</v>
      </c>
      <c r="C56" s="19" t="s">
        <v>54</v>
      </c>
      <c r="D56" s="16" t="s">
        <v>55</v>
      </c>
      <c r="E56" s="16" t="s">
        <v>86</v>
      </c>
      <c r="F56" s="20">
        <v>45839.0</v>
      </c>
      <c r="G56" s="19">
        <v>23799.0</v>
      </c>
      <c r="H56" s="21">
        <v>45888.0</v>
      </c>
      <c r="I56" s="22">
        <v>35674.8</v>
      </c>
      <c r="J56" s="19" t="s">
        <v>94</v>
      </c>
      <c r="K56" s="21">
        <v>45950.0</v>
      </c>
      <c r="L56" s="17" t="s">
        <v>7</v>
      </c>
      <c r="M56" s="23" t="s">
        <v>8</v>
      </c>
    </row>
    <row r="57">
      <c r="A57" s="17" t="s">
        <v>76</v>
      </c>
      <c r="B57" s="16" t="s">
        <v>51</v>
      </c>
      <c r="C57" s="19" t="s">
        <v>52</v>
      </c>
      <c r="D57" s="16" t="s">
        <v>28</v>
      </c>
      <c r="E57" s="16" t="s">
        <v>77</v>
      </c>
      <c r="F57" s="20">
        <v>45839.0</v>
      </c>
      <c r="G57" s="19">
        <v>149985.0</v>
      </c>
      <c r="H57" s="21">
        <v>45874.0</v>
      </c>
      <c r="I57" s="22">
        <v>31579.62</v>
      </c>
      <c r="J57" s="19" t="s">
        <v>94</v>
      </c>
      <c r="K57" s="21">
        <v>45919.0</v>
      </c>
      <c r="L57" s="17" t="s">
        <v>14</v>
      </c>
      <c r="M57" s="23" t="s">
        <v>15</v>
      </c>
    </row>
    <row r="58">
      <c r="A58" s="17" t="s">
        <v>76</v>
      </c>
      <c r="B58" s="16" t="s">
        <v>51</v>
      </c>
      <c r="C58" s="19" t="s">
        <v>52</v>
      </c>
      <c r="D58" s="16" t="s">
        <v>28</v>
      </c>
      <c r="E58" s="16" t="s">
        <v>77</v>
      </c>
      <c r="F58" s="20">
        <v>45809.0</v>
      </c>
      <c r="G58" s="19">
        <v>149246.0</v>
      </c>
      <c r="H58" s="21">
        <v>45846.0</v>
      </c>
      <c r="I58" s="22">
        <v>33129.54</v>
      </c>
      <c r="J58" s="19" t="s">
        <v>85</v>
      </c>
      <c r="K58" s="21">
        <v>45891.0</v>
      </c>
      <c r="L58" s="17" t="s">
        <v>14</v>
      </c>
      <c r="M58" s="23" t="s">
        <v>15</v>
      </c>
    </row>
    <row r="59">
      <c r="A59" s="17" t="s">
        <v>76</v>
      </c>
      <c r="B59" s="16" t="s">
        <v>51</v>
      </c>
      <c r="C59" s="19" t="s">
        <v>52</v>
      </c>
      <c r="D59" s="16" t="s">
        <v>28</v>
      </c>
      <c r="E59" s="16" t="s">
        <v>77</v>
      </c>
      <c r="F59" s="20">
        <v>45870.0</v>
      </c>
      <c r="G59" s="19">
        <v>150800.0</v>
      </c>
      <c r="H59" s="21">
        <v>45901.0</v>
      </c>
      <c r="I59" s="22">
        <v>40879.14</v>
      </c>
      <c r="J59" s="19" t="s">
        <v>95</v>
      </c>
      <c r="K59" s="21">
        <v>45891.0</v>
      </c>
      <c r="L59" s="17" t="s">
        <v>14</v>
      </c>
      <c r="M59" s="23" t="s">
        <v>15</v>
      </c>
    </row>
    <row r="60">
      <c r="A60" s="17" t="s">
        <v>76</v>
      </c>
      <c r="B60" s="16" t="s">
        <v>56</v>
      </c>
      <c r="C60" s="19" t="s">
        <v>57</v>
      </c>
      <c r="D60" s="16" t="s">
        <v>58</v>
      </c>
      <c r="E60" s="16" t="s">
        <v>86</v>
      </c>
      <c r="F60" s="20">
        <v>45809.0</v>
      </c>
      <c r="G60" s="19">
        <v>40647.0</v>
      </c>
      <c r="H60" s="21">
        <v>45848.0</v>
      </c>
      <c r="I60" s="22">
        <v>62025.6</v>
      </c>
      <c r="J60" s="19" t="s">
        <v>93</v>
      </c>
      <c r="K60" s="21">
        <v>45878.0</v>
      </c>
      <c r="L60" s="17" t="s">
        <v>7</v>
      </c>
      <c r="M60" s="23" t="s">
        <v>8</v>
      </c>
    </row>
    <row r="61">
      <c r="A61" s="17" t="s">
        <v>76</v>
      </c>
      <c r="B61" s="16" t="s">
        <v>56</v>
      </c>
      <c r="C61" s="19" t="s">
        <v>57</v>
      </c>
      <c r="D61" s="16" t="s">
        <v>58</v>
      </c>
      <c r="E61" s="16" t="s">
        <v>86</v>
      </c>
      <c r="F61" s="20">
        <v>45839.0</v>
      </c>
      <c r="G61" s="19">
        <v>41078.0</v>
      </c>
      <c r="H61" s="21">
        <v>45862.0</v>
      </c>
      <c r="I61" s="22">
        <v>59072.0</v>
      </c>
      <c r="J61" s="19" t="s">
        <v>94</v>
      </c>
      <c r="K61" s="21">
        <v>45892.0</v>
      </c>
      <c r="L61" s="17" t="s">
        <v>7</v>
      </c>
      <c r="M61" s="23" t="s">
        <v>8</v>
      </c>
    </row>
    <row r="62">
      <c r="A62" s="17" t="s">
        <v>76</v>
      </c>
      <c r="B62" s="16" t="s">
        <v>56</v>
      </c>
      <c r="C62" s="19" t="s">
        <v>57</v>
      </c>
      <c r="D62" s="16" t="s">
        <v>58</v>
      </c>
      <c r="E62" s="16" t="s">
        <v>86</v>
      </c>
      <c r="F62" s="20">
        <v>45870.0</v>
      </c>
      <c r="G62" s="19">
        <v>41913.0</v>
      </c>
      <c r="H62" s="21">
        <v>45898.0</v>
      </c>
      <c r="I62" s="22">
        <v>54641.6</v>
      </c>
      <c r="J62" s="19" t="s">
        <v>95</v>
      </c>
      <c r="K62" s="21">
        <v>45928.0</v>
      </c>
      <c r="L62" s="17" t="s">
        <v>7</v>
      </c>
      <c r="M62" s="23" t="s">
        <v>8</v>
      </c>
    </row>
    <row r="63">
      <c r="A63" s="17" t="s">
        <v>76</v>
      </c>
      <c r="B63" s="16" t="s">
        <v>65</v>
      </c>
      <c r="C63" s="19" t="s">
        <v>66</v>
      </c>
      <c r="D63" s="16" t="s">
        <v>19</v>
      </c>
      <c r="E63" s="16" t="s">
        <v>77</v>
      </c>
      <c r="F63" s="20">
        <v>45870.0</v>
      </c>
      <c r="G63" s="19">
        <v>3017.0</v>
      </c>
      <c r="H63" s="21">
        <v>45902.0</v>
      </c>
      <c r="I63" s="22">
        <v>147076.66</v>
      </c>
      <c r="J63" s="19" t="s">
        <v>95</v>
      </c>
      <c r="K63" s="21">
        <v>45962.0</v>
      </c>
      <c r="L63" s="17" t="s">
        <v>10</v>
      </c>
      <c r="M63" s="23" t="s">
        <v>11</v>
      </c>
    </row>
    <row r="64">
      <c r="A64" s="17" t="s">
        <v>76</v>
      </c>
      <c r="B64" s="16" t="s">
        <v>65</v>
      </c>
      <c r="C64" s="19" t="s">
        <v>66</v>
      </c>
      <c r="D64" s="16" t="s">
        <v>19</v>
      </c>
      <c r="E64" s="16" t="s">
        <v>77</v>
      </c>
      <c r="F64" s="20">
        <v>45870.0</v>
      </c>
      <c r="G64" s="19">
        <v>3018.0</v>
      </c>
      <c r="H64" s="21">
        <v>45902.0</v>
      </c>
      <c r="I64" s="22">
        <v>121225.35</v>
      </c>
      <c r="J64" s="19" t="s">
        <v>95</v>
      </c>
      <c r="K64" s="21">
        <v>45962.0</v>
      </c>
      <c r="L64" s="17" t="s">
        <v>14</v>
      </c>
      <c r="M64" s="23" t="s">
        <v>15</v>
      </c>
    </row>
    <row r="65">
      <c r="A65" s="17" t="s">
        <v>76</v>
      </c>
      <c r="B65" s="16" t="s">
        <v>65</v>
      </c>
      <c r="C65" s="19" t="s">
        <v>66</v>
      </c>
      <c r="D65" s="16" t="s">
        <v>19</v>
      </c>
      <c r="E65" s="16" t="s">
        <v>86</v>
      </c>
      <c r="F65" s="20">
        <v>45870.0</v>
      </c>
      <c r="G65" s="19">
        <v>3019.0</v>
      </c>
      <c r="H65" s="21">
        <v>45902.0</v>
      </c>
      <c r="I65" s="22">
        <v>38391.6</v>
      </c>
      <c r="J65" s="19" t="s">
        <v>95</v>
      </c>
      <c r="K65" s="21">
        <v>45962.0</v>
      </c>
      <c r="L65" s="17" t="s">
        <v>7</v>
      </c>
      <c r="M65" s="23" t="s">
        <v>8</v>
      </c>
    </row>
    <row r="66">
      <c r="A66" s="17" t="s">
        <v>76</v>
      </c>
      <c r="B66" s="16" t="s">
        <v>65</v>
      </c>
      <c r="C66" s="19" t="s">
        <v>66</v>
      </c>
      <c r="D66" s="16" t="s">
        <v>19</v>
      </c>
      <c r="E66" s="16" t="s">
        <v>77</v>
      </c>
      <c r="F66" s="20">
        <v>45870.0</v>
      </c>
      <c r="G66" s="19">
        <v>3020.0</v>
      </c>
      <c r="H66" s="21">
        <v>45902.0</v>
      </c>
      <c r="I66" s="22">
        <v>37863.2</v>
      </c>
      <c r="J66" s="19" t="s">
        <v>95</v>
      </c>
      <c r="K66" s="21">
        <v>45962.0</v>
      </c>
      <c r="L66" s="17" t="s">
        <v>14</v>
      </c>
      <c r="M66" s="23" t="s">
        <v>15</v>
      </c>
    </row>
    <row r="67">
      <c r="A67" s="17" t="s">
        <v>76</v>
      </c>
      <c r="B67" s="16" t="s">
        <v>51</v>
      </c>
      <c r="C67" s="19" t="s">
        <v>52</v>
      </c>
      <c r="D67" s="16" t="s">
        <v>28</v>
      </c>
      <c r="E67" s="16" t="s">
        <v>86</v>
      </c>
      <c r="F67" s="20">
        <v>45870.0</v>
      </c>
      <c r="G67" s="19">
        <v>150796.0</v>
      </c>
      <c r="H67" s="21">
        <v>45901.0</v>
      </c>
      <c r="I67" s="22">
        <v>33757.68</v>
      </c>
      <c r="J67" s="19" t="s">
        <v>95</v>
      </c>
      <c r="K67" s="21">
        <v>45946.0</v>
      </c>
      <c r="L67" s="17" t="s">
        <v>7</v>
      </c>
      <c r="M67" s="23" t="s">
        <v>8</v>
      </c>
    </row>
    <row r="68">
      <c r="A68" s="17" t="s">
        <v>76</v>
      </c>
      <c r="B68" s="16" t="s">
        <v>51</v>
      </c>
      <c r="C68" s="19" t="s">
        <v>52</v>
      </c>
      <c r="D68" s="16" t="s">
        <v>28</v>
      </c>
      <c r="E68" s="16" t="s">
        <v>86</v>
      </c>
      <c r="F68" s="20">
        <v>45870.0</v>
      </c>
      <c r="G68" s="19">
        <v>150797.0</v>
      </c>
      <c r="H68" s="21">
        <v>45901.0</v>
      </c>
      <c r="I68" s="22">
        <v>36264.96</v>
      </c>
      <c r="J68" s="19" t="s">
        <v>95</v>
      </c>
      <c r="K68" s="21">
        <v>45946.0</v>
      </c>
      <c r="L68" s="17" t="s">
        <v>7</v>
      </c>
      <c r="M68" s="23" t="s">
        <v>8</v>
      </c>
    </row>
    <row r="69">
      <c r="A69" s="17" t="s">
        <v>76</v>
      </c>
      <c r="B69" s="16" t="s">
        <v>51</v>
      </c>
      <c r="C69" s="19" t="s">
        <v>52</v>
      </c>
      <c r="D69" s="16" t="s">
        <v>28</v>
      </c>
      <c r="E69" s="16" t="s">
        <v>77</v>
      </c>
      <c r="F69" s="20">
        <v>45870.0</v>
      </c>
      <c r="G69" s="19">
        <v>150839.0</v>
      </c>
      <c r="H69" s="21">
        <v>45902.0</v>
      </c>
      <c r="I69" s="22">
        <v>78666.96</v>
      </c>
      <c r="J69" s="19" t="s">
        <v>95</v>
      </c>
      <c r="K69" s="21">
        <v>45946.0</v>
      </c>
      <c r="L69" s="17" t="s">
        <v>14</v>
      </c>
      <c r="M69" s="23" t="s">
        <v>15</v>
      </c>
    </row>
    <row r="70">
      <c r="A70" s="17" t="s">
        <v>76</v>
      </c>
      <c r="B70" s="16" t="s">
        <v>51</v>
      </c>
      <c r="C70" s="19" t="s">
        <v>52</v>
      </c>
      <c r="D70" s="16" t="s">
        <v>28</v>
      </c>
      <c r="E70" s="16" t="s">
        <v>86</v>
      </c>
      <c r="F70" s="20">
        <v>45870.0</v>
      </c>
      <c r="G70" s="19">
        <v>150840.0</v>
      </c>
      <c r="H70" s="21">
        <v>45902.0</v>
      </c>
      <c r="I70" s="22">
        <v>175055.56</v>
      </c>
      <c r="J70" s="19" t="s">
        <v>95</v>
      </c>
      <c r="K70" s="21">
        <v>45946.0</v>
      </c>
      <c r="L70" s="17" t="s">
        <v>7</v>
      </c>
      <c r="M70" s="23" t="s">
        <v>8</v>
      </c>
    </row>
    <row r="71">
      <c r="A71" s="17" t="s">
        <v>76</v>
      </c>
      <c r="B71" s="16" t="s">
        <v>59</v>
      </c>
      <c r="C71" s="19" t="s">
        <v>60</v>
      </c>
      <c r="D71" s="16" t="s">
        <v>61</v>
      </c>
      <c r="E71" s="16" t="s">
        <v>77</v>
      </c>
      <c r="F71" s="20">
        <v>45870.0</v>
      </c>
      <c r="G71" s="19">
        <v>15487.0</v>
      </c>
      <c r="H71" s="21">
        <v>45901.0</v>
      </c>
      <c r="I71" s="22">
        <v>37904.78</v>
      </c>
      <c r="J71" s="19" t="s">
        <v>95</v>
      </c>
      <c r="K71" s="21">
        <v>45931.0</v>
      </c>
      <c r="L71" s="17" t="s">
        <v>14</v>
      </c>
      <c r="M71" s="23" t="s">
        <v>15</v>
      </c>
    </row>
    <row r="72">
      <c r="A72" s="17" t="s">
        <v>76</v>
      </c>
      <c r="B72" s="16" t="s">
        <v>62</v>
      </c>
      <c r="C72" s="19" t="s">
        <v>63</v>
      </c>
      <c r="D72" s="16" t="s">
        <v>64</v>
      </c>
      <c r="E72" s="16" t="s">
        <v>86</v>
      </c>
      <c r="F72" s="20">
        <v>45870.0</v>
      </c>
      <c r="G72" s="19">
        <v>1119.0</v>
      </c>
      <c r="H72" s="21">
        <v>45911.0</v>
      </c>
      <c r="I72" s="22">
        <v>39118.77</v>
      </c>
      <c r="J72" s="19" t="s">
        <v>95</v>
      </c>
      <c r="K72" s="21">
        <v>45941.0</v>
      </c>
      <c r="L72" s="17" t="s">
        <v>7</v>
      </c>
      <c r="M72" s="23" t="s">
        <v>8</v>
      </c>
    </row>
    <row r="73">
      <c r="A73" s="17" t="s">
        <v>76</v>
      </c>
      <c r="B73" s="16" t="s">
        <v>53</v>
      </c>
      <c r="C73" s="19" t="s">
        <v>54</v>
      </c>
      <c r="D73" s="16" t="s">
        <v>55</v>
      </c>
      <c r="E73" s="16" t="s">
        <v>86</v>
      </c>
      <c r="F73" s="20">
        <v>45839.0</v>
      </c>
      <c r="G73" s="19">
        <v>24268.0</v>
      </c>
      <c r="H73" s="21">
        <v>45912.0</v>
      </c>
      <c r="I73" s="22">
        <v>25854.47</v>
      </c>
      <c r="J73" s="19" t="s">
        <v>95</v>
      </c>
      <c r="K73" s="21">
        <v>45981.0</v>
      </c>
      <c r="L73" s="17" t="s">
        <v>7</v>
      </c>
      <c r="M73" s="23" t="s">
        <v>8</v>
      </c>
    </row>
    <row r="74">
      <c r="A74" s="17" t="s">
        <v>84</v>
      </c>
      <c r="B74" s="16" t="s">
        <v>51</v>
      </c>
      <c r="C74" s="19" t="s">
        <v>52</v>
      </c>
      <c r="D74" s="16" t="s">
        <v>28</v>
      </c>
      <c r="E74" s="16" t="s">
        <v>77</v>
      </c>
      <c r="F74" s="20">
        <v>45901.0</v>
      </c>
      <c r="G74" s="17">
        <v>151742.0</v>
      </c>
      <c r="H74" s="21">
        <v>45931.0</v>
      </c>
      <c r="I74" s="22">
        <v>33039.13</v>
      </c>
      <c r="J74" s="19" t="s">
        <v>96</v>
      </c>
      <c r="K74" s="21">
        <v>45976.0</v>
      </c>
      <c r="L74" s="17" t="s">
        <v>14</v>
      </c>
      <c r="M74" s="23" t="s">
        <v>15</v>
      </c>
    </row>
    <row r="75">
      <c r="A75" s="17" t="s">
        <v>84</v>
      </c>
      <c r="B75" s="16" t="s">
        <v>65</v>
      </c>
      <c r="C75" s="19" t="s">
        <v>66</v>
      </c>
      <c r="D75" s="16" t="s">
        <v>19</v>
      </c>
      <c r="E75" s="16" t="s">
        <v>77</v>
      </c>
      <c r="F75" s="20">
        <v>45901.0</v>
      </c>
      <c r="G75" s="17">
        <v>3077.0</v>
      </c>
      <c r="H75" s="21">
        <v>45932.0</v>
      </c>
      <c r="I75" s="22">
        <v>130730.54</v>
      </c>
      <c r="J75" s="19" t="s">
        <v>96</v>
      </c>
      <c r="K75" s="21">
        <v>45992.0</v>
      </c>
      <c r="L75" s="17" t="s">
        <v>10</v>
      </c>
      <c r="M75" s="23" t="s">
        <v>11</v>
      </c>
    </row>
    <row r="76">
      <c r="A76" s="17" t="s">
        <v>84</v>
      </c>
      <c r="B76" s="16" t="s">
        <v>65</v>
      </c>
      <c r="C76" s="19" t="s">
        <v>66</v>
      </c>
      <c r="D76" s="16" t="s">
        <v>19</v>
      </c>
      <c r="E76" s="16" t="s">
        <v>77</v>
      </c>
      <c r="F76" s="20">
        <v>45901.0</v>
      </c>
      <c r="G76" s="17">
        <v>3078.0</v>
      </c>
      <c r="H76" s="21">
        <v>45932.0</v>
      </c>
      <c r="I76" s="22">
        <v>93684.7</v>
      </c>
      <c r="J76" s="19" t="s">
        <v>96</v>
      </c>
      <c r="K76" s="21">
        <v>45992.0</v>
      </c>
      <c r="L76" s="17" t="s">
        <v>14</v>
      </c>
      <c r="M76" s="23" t="s">
        <v>15</v>
      </c>
    </row>
    <row r="77">
      <c r="A77" s="17" t="s">
        <v>84</v>
      </c>
      <c r="B77" s="16" t="s">
        <v>65</v>
      </c>
      <c r="C77" s="19" t="s">
        <v>66</v>
      </c>
      <c r="D77" s="16" t="s">
        <v>19</v>
      </c>
      <c r="E77" s="16" t="s">
        <v>77</v>
      </c>
      <c r="F77" s="20">
        <v>45901.0</v>
      </c>
      <c r="G77" s="17">
        <v>3079.0</v>
      </c>
      <c r="H77" s="21">
        <v>45932.0</v>
      </c>
      <c r="I77" s="22">
        <v>33592.65</v>
      </c>
      <c r="J77" s="19" t="s">
        <v>96</v>
      </c>
      <c r="K77" s="21">
        <v>45992.0</v>
      </c>
      <c r="L77" s="17" t="s">
        <v>14</v>
      </c>
      <c r="M77" s="23" t="s">
        <v>15</v>
      </c>
    </row>
    <row r="78">
      <c r="A78" s="17" t="s">
        <v>76</v>
      </c>
      <c r="B78" s="16" t="s">
        <v>51</v>
      </c>
      <c r="C78" s="19" t="s">
        <v>52</v>
      </c>
      <c r="D78" s="16" t="s">
        <v>28</v>
      </c>
      <c r="E78" s="16" t="s">
        <v>86</v>
      </c>
      <c r="F78" s="20">
        <v>45901.0</v>
      </c>
      <c r="G78" s="19">
        <v>151728.0</v>
      </c>
      <c r="H78" s="21">
        <v>45931.0</v>
      </c>
      <c r="I78" s="22">
        <v>28375.7</v>
      </c>
      <c r="J78" s="19" t="s">
        <v>96</v>
      </c>
      <c r="K78" s="21">
        <v>45976.0</v>
      </c>
      <c r="L78" s="17" t="s">
        <v>7</v>
      </c>
      <c r="M78" s="23" t="s">
        <v>8</v>
      </c>
    </row>
    <row r="79">
      <c r="A79" s="17" t="s">
        <v>84</v>
      </c>
      <c r="B79" s="16" t="s">
        <v>51</v>
      </c>
      <c r="C79" s="19" t="s">
        <v>52</v>
      </c>
      <c r="D79" s="16" t="s">
        <v>28</v>
      </c>
      <c r="E79" s="16" t="s">
        <v>77</v>
      </c>
      <c r="F79" s="20">
        <v>45901.0</v>
      </c>
      <c r="G79" s="17">
        <v>151738.0</v>
      </c>
      <c r="H79" s="21">
        <v>45931.0</v>
      </c>
      <c r="I79" s="22">
        <v>68437.29</v>
      </c>
      <c r="J79" s="19" t="s">
        <v>96</v>
      </c>
      <c r="K79" s="21">
        <v>45976.0</v>
      </c>
      <c r="L79" s="17" t="s">
        <v>14</v>
      </c>
      <c r="M79" s="23" t="s">
        <v>15</v>
      </c>
    </row>
    <row r="80">
      <c r="A80" s="17" t="s">
        <v>76</v>
      </c>
      <c r="B80" s="16" t="s">
        <v>51</v>
      </c>
      <c r="C80" s="19" t="s">
        <v>52</v>
      </c>
      <c r="D80" s="16" t="s">
        <v>28</v>
      </c>
      <c r="E80" s="16" t="s">
        <v>86</v>
      </c>
      <c r="F80" s="20">
        <v>45901.0</v>
      </c>
      <c r="G80" s="19">
        <v>151739.0</v>
      </c>
      <c r="H80" s="21">
        <v>45931.0</v>
      </c>
      <c r="I80" s="22">
        <v>158321.88</v>
      </c>
      <c r="J80" s="19" t="s">
        <v>96</v>
      </c>
      <c r="K80" s="21">
        <v>45976.0</v>
      </c>
      <c r="L80" s="17" t="s">
        <v>7</v>
      </c>
      <c r="M80" s="23" t="s">
        <v>8</v>
      </c>
    </row>
    <row r="81">
      <c r="A81" s="17" t="s">
        <v>76</v>
      </c>
      <c r="B81" s="16" t="s">
        <v>51</v>
      </c>
      <c r="C81" s="19" t="s">
        <v>52</v>
      </c>
      <c r="D81" s="16" t="s">
        <v>28</v>
      </c>
      <c r="E81" s="16" t="s">
        <v>86</v>
      </c>
      <c r="F81" s="20">
        <v>45901.0</v>
      </c>
      <c r="G81" s="19">
        <v>151753.0</v>
      </c>
      <c r="H81" s="21">
        <v>45931.0</v>
      </c>
      <c r="I81" s="22">
        <v>47597.76</v>
      </c>
      <c r="J81" s="19" t="s">
        <v>96</v>
      </c>
      <c r="K81" s="21">
        <v>45976.0</v>
      </c>
      <c r="L81" s="17" t="s">
        <v>7</v>
      </c>
      <c r="M81" s="23" t="s">
        <v>8</v>
      </c>
    </row>
    <row r="82">
      <c r="A82" s="17" t="s">
        <v>84</v>
      </c>
      <c r="B82" s="16" t="s">
        <v>51</v>
      </c>
      <c r="C82" s="19" t="s">
        <v>52</v>
      </c>
      <c r="D82" s="16" t="s">
        <v>28</v>
      </c>
      <c r="E82" s="16" t="s">
        <v>77</v>
      </c>
      <c r="F82" s="20">
        <v>45901.0</v>
      </c>
      <c r="G82" s="17">
        <v>151906.0</v>
      </c>
      <c r="H82" s="21">
        <v>45936.0</v>
      </c>
      <c r="I82" s="22">
        <v>33039.13</v>
      </c>
      <c r="J82" s="19" t="s">
        <v>96</v>
      </c>
      <c r="K82" s="21">
        <v>45981.0</v>
      </c>
      <c r="L82" s="17" t="s">
        <v>14</v>
      </c>
      <c r="M82" s="23" t="s">
        <v>15</v>
      </c>
    </row>
    <row r="83">
      <c r="A83" s="17" t="s">
        <v>76</v>
      </c>
      <c r="B83" s="16" t="s">
        <v>53</v>
      </c>
      <c r="C83" s="19" t="s">
        <v>54</v>
      </c>
      <c r="D83" s="16" t="s">
        <v>55</v>
      </c>
      <c r="E83" s="16" t="s">
        <v>86</v>
      </c>
      <c r="F83" s="20">
        <v>45870.0</v>
      </c>
      <c r="G83" s="19">
        <v>24268.0</v>
      </c>
      <c r="H83" s="21">
        <v>45912.0</v>
      </c>
      <c r="I83" s="22">
        <v>25854.47</v>
      </c>
      <c r="J83" s="19" t="s">
        <v>95</v>
      </c>
      <c r="K83" s="21">
        <v>45999.0</v>
      </c>
      <c r="L83" s="17" t="s">
        <v>7</v>
      </c>
      <c r="M83" s="23" t="s">
        <v>8</v>
      </c>
    </row>
    <row r="84">
      <c r="A84" s="17" t="s">
        <v>76</v>
      </c>
      <c r="B84" s="16" t="s">
        <v>59</v>
      </c>
      <c r="C84" s="19" t="s">
        <v>60</v>
      </c>
      <c r="D84" s="16" t="s">
        <v>61</v>
      </c>
      <c r="E84" s="16" t="s">
        <v>77</v>
      </c>
      <c r="F84" s="20">
        <v>45901.0</v>
      </c>
      <c r="G84" s="19">
        <v>15634.0</v>
      </c>
      <c r="H84" s="21">
        <v>45931.0</v>
      </c>
      <c r="I84" s="22">
        <v>33873.59</v>
      </c>
      <c r="J84" s="19" t="s">
        <v>96</v>
      </c>
      <c r="K84" s="21">
        <v>45961.0</v>
      </c>
      <c r="L84" s="17" t="s">
        <v>14</v>
      </c>
      <c r="M84" s="23" t="s">
        <v>15</v>
      </c>
    </row>
    <row r="85">
      <c r="A85" s="17" t="s">
        <v>76</v>
      </c>
      <c r="B85" s="16" t="s">
        <v>53</v>
      </c>
      <c r="C85" s="19" t="s">
        <v>54</v>
      </c>
      <c r="D85" s="16" t="s">
        <v>55</v>
      </c>
      <c r="E85" s="16" t="s">
        <v>86</v>
      </c>
      <c r="F85" s="20">
        <v>45901.0</v>
      </c>
      <c r="G85" s="19">
        <v>24848.0</v>
      </c>
      <c r="H85" s="21">
        <v>45950.0</v>
      </c>
      <c r="I85" s="22">
        <v>18105.87</v>
      </c>
      <c r="J85" s="19" t="s">
        <v>96</v>
      </c>
      <c r="K85" s="21">
        <v>46010.0</v>
      </c>
      <c r="L85" s="17" t="s">
        <v>7</v>
      </c>
      <c r="M85" s="23" t="s">
        <v>8</v>
      </c>
    </row>
    <row r="86">
      <c r="A86" s="17" t="s">
        <v>76</v>
      </c>
      <c r="B86" s="16" t="s">
        <v>51</v>
      </c>
      <c r="C86" s="19" t="s">
        <v>52</v>
      </c>
      <c r="D86" s="16" t="s">
        <v>28</v>
      </c>
      <c r="E86" s="16" t="s">
        <v>77</v>
      </c>
      <c r="F86" s="20">
        <v>45901.0</v>
      </c>
      <c r="G86" s="19">
        <v>152211.0</v>
      </c>
      <c r="H86" s="21">
        <v>45946.0</v>
      </c>
      <c r="I86" s="22">
        <v>68437.29</v>
      </c>
      <c r="J86" s="19" t="s">
        <v>96</v>
      </c>
      <c r="K86" s="21">
        <v>45991.0</v>
      </c>
      <c r="L86" s="17" t="s">
        <v>14</v>
      </c>
      <c r="M86" s="23" t="s">
        <v>15</v>
      </c>
    </row>
    <row r="87">
      <c r="A87" s="17" t="s">
        <v>76</v>
      </c>
      <c r="B87" s="16" t="s">
        <v>51</v>
      </c>
      <c r="C87" s="19" t="s">
        <v>52</v>
      </c>
      <c r="D87" s="16" t="s">
        <v>28</v>
      </c>
      <c r="E87" s="16" t="s">
        <v>77</v>
      </c>
      <c r="F87" s="20">
        <v>45901.0</v>
      </c>
      <c r="G87" s="19">
        <v>152210.0</v>
      </c>
      <c r="H87" s="21">
        <v>45946.0</v>
      </c>
      <c r="I87" s="22">
        <v>33039.13</v>
      </c>
      <c r="J87" s="19" t="s">
        <v>96</v>
      </c>
      <c r="K87" s="21">
        <v>45991.0</v>
      </c>
      <c r="L87" s="17" t="s">
        <v>14</v>
      </c>
      <c r="M87" s="23" t="s">
        <v>15</v>
      </c>
    </row>
    <row r="88">
      <c r="A88" s="17" t="s">
        <v>84</v>
      </c>
      <c r="B88" s="16" t="s">
        <v>65</v>
      </c>
      <c r="C88" s="19" t="s">
        <v>66</v>
      </c>
      <c r="D88" s="16" t="s">
        <v>19</v>
      </c>
      <c r="E88" s="16" t="s">
        <v>77</v>
      </c>
      <c r="F88" s="20">
        <v>45901.0</v>
      </c>
      <c r="G88" s="17">
        <v>3108.0</v>
      </c>
      <c r="H88" s="21">
        <v>45946.0</v>
      </c>
      <c r="I88" s="22">
        <v>33592.65</v>
      </c>
      <c r="J88" s="19" t="s">
        <v>96</v>
      </c>
      <c r="K88" s="21">
        <v>45992.0</v>
      </c>
      <c r="L88" s="17" t="s">
        <v>14</v>
      </c>
      <c r="M88" s="23" t="s">
        <v>15</v>
      </c>
    </row>
    <row r="89">
      <c r="A89" s="17" t="s">
        <v>76</v>
      </c>
      <c r="B89" s="16" t="s">
        <v>65</v>
      </c>
      <c r="C89" s="19" t="s">
        <v>66</v>
      </c>
      <c r="D89" s="16" t="s">
        <v>19</v>
      </c>
      <c r="E89" s="16" t="s">
        <v>77</v>
      </c>
      <c r="F89" s="20">
        <v>45901.0</v>
      </c>
      <c r="G89" s="19">
        <v>3109.0</v>
      </c>
      <c r="H89" s="21">
        <v>45946.0</v>
      </c>
      <c r="I89" s="22">
        <v>130730.54</v>
      </c>
      <c r="J89" s="19" t="s">
        <v>96</v>
      </c>
      <c r="K89" s="21">
        <v>45992.0</v>
      </c>
      <c r="L89" s="17" t="s">
        <v>10</v>
      </c>
      <c r="M89" s="23" t="s">
        <v>11</v>
      </c>
    </row>
    <row r="90">
      <c r="A90" s="17" t="s">
        <v>76</v>
      </c>
      <c r="B90" s="16" t="s">
        <v>65</v>
      </c>
      <c r="C90" s="19" t="s">
        <v>66</v>
      </c>
      <c r="D90" s="16" t="s">
        <v>19</v>
      </c>
      <c r="E90" s="16" t="s">
        <v>77</v>
      </c>
      <c r="F90" s="20">
        <v>45901.0</v>
      </c>
      <c r="G90" s="19">
        <v>3110.0</v>
      </c>
      <c r="H90" s="21">
        <v>45946.0</v>
      </c>
      <c r="I90" s="22">
        <v>93684.7</v>
      </c>
      <c r="J90" s="19" t="s">
        <v>96</v>
      </c>
      <c r="K90" s="21">
        <v>45992.0</v>
      </c>
      <c r="L90" s="17" t="s">
        <v>14</v>
      </c>
      <c r="M90" s="23" t="s">
        <v>15</v>
      </c>
    </row>
    <row r="91">
      <c r="A91" s="17" t="s">
        <v>76</v>
      </c>
      <c r="B91" s="16" t="s">
        <v>65</v>
      </c>
      <c r="C91" s="19" t="s">
        <v>66</v>
      </c>
      <c r="D91" s="16" t="s">
        <v>19</v>
      </c>
      <c r="E91" s="16" t="s">
        <v>77</v>
      </c>
      <c r="F91" s="20">
        <v>45901.0</v>
      </c>
      <c r="G91" s="19">
        <v>3089.0</v>
      </c>
      <c r="H91" s="21">
        <v>45938.0</v>
      </c>
      <c r="I91" s="22">
        <v>33029.6</v>
      </c>
      <c r="J91" s="19" t="s">
        <v>96</v>
      </c>
      <c r="K91" s="21">
        <v>45998.0</v>
      </c>
      <c r="L91" s="17" t="s">
        <v>14</v>
      </c>
      <c r="M91" s="23" t="s">
        <v>15</v>
      </c>
    </row>
    <row r="92">
      <c r="A92" s="17" t="s">
        <v>76</v>
      </c>
      <c r="B92" s="16" t="s">
        <v>65</v>
      </c>
      <c r="C92" s="19" t="s">
        <v>66</v>
      </c>
      <c r="D92" s="16" t="s">
        <v>19</v>
      </c>
      <c r="E92" s="16" t="s">
        <v>77</v>
      </c>
      <c r="F92" s="20">
        <v>45901.0</v>
      </c>
      <c r="G92" s="19">
        <v>3113.0</v>
      </c>
      <c r="H92" s="21">
        <v>45947.0</v>
      </c>
      <c r="I92" s="22">
        <v>33592.65</v>
      </c>
      <c r="J92" s="19" t="s">
        <v>96</v>
      </c>
      <c r="K92" s="21">
        <v>45992.0</v>
      </c>
      <c r="L92" s="17" t="s">
        <v>14</v>
      </c>
      <c r="M92" s="23" t="s">
        <v>15</v>
      </c>
    </row>
    <row r="93">
      <c r="A93" s="17" t="s">
        <v>76</v>
      </c>
      <c r="B93" s="16" t="s">
        <v>65</v>
      </c>
      <c r="C93" s="19" t="s">
        <v>66</v>
      </c>
      <c r="D93" s="16" t="s">
        <v>19</v>
      </c>
      <c r="E93" s="16" t="s">
        <v>77</v>
      </c>
      <c r="F93" s="20">
        <v>45931.0</v>
      </c>
      <c r="G93" s="19">
        <v>3155.0</v>
      </c>
      <c r="H93" s="21">
        <v>45974.0</v>
      </c>
      <c r="I93" s="22">
        <v>149274.16</v>
      </c>
      <c r="J93" s="19" t="s">
        <v>97</v>
      </c>
      <c r="K93" s="21">
        <v>46020.0</v>
      </c>
      <c r="L93" s="17" t="s">
        <v>14</v>
      </c>
      <c r="M93" s="23" t="s">
        <v>15</v>
      </c>
    </row>
    <row r="94">
      <c r="A94" s="17" t="s">
        <v>76</v>
      </c>
      <c r="B94" s="16" t="s">
        <v>65</v>
      </c>
      <c r="C94" s="19" t="s">
        <v>66</v>
      </c>
      <c r="D94" s="16" t="s">
        <v>19</v>
      </c>
      <c r="E94" s="16" t="s">
        <v>77</v>
      </c>
      <c r="F94" s="20">
        <v>45931.0</v>
      </c>
      <c r="G94" s="19">
        <v>3156.0</v>
      </c>
      <c r="H94" s="21">
        <v>45974.0</v>
      </c>
      <c r="I94" s="22">
        <v>124000.96</v>
      </c>
      <c r="J94" s="19" t="s">
        <v>97</v>
      </c>
      <c r="K94" s="21">
        <v>46020.0</v>
      </c>
      <c r="L94" s="17" t="s">
        <v>10</v>
      </c>
      <c r="M94" s="23" t="s">
        <v>11</v>
      </c>
    </row>
    <row r="95">
      <c r="A95" s="17" t="s">
        <v>76</v>
      </c>
      <c r="B95" s="16" t="s">
        <v>65</v>
      </c>
      <c r="C95" s="19" t="s">
        <v>66</v>
      </c>
      <c r="D95" s="16" t="s">
        <v>19</v>
      </c>
      <c r="E95" s="16" t="s">
        <v>86</v>
      </c>
      <c r="F95" s="20">
        <v>45931.0</v>
      </c>
      <c r="G95" s="19">
        <v>3158.0</v>
      </c>
      <c r="H95" s="21">
        <v>45974.0</v>
      </c>
      <c r="I95" s="22">
        <v>37641.12</v>
      </c>
      <c r="J95" s="19" t="s">
        <v>97</v>
      </c>
      <c r="K95" s="21">
        <v>46020.0</v>
      </c>
      <c r="L95" s="17" t="s">
        <v>7</v>
      </c>
      <c r="M95" s="23" t="s">
        <v>8</v>
      </c>
    </row>
    <row r="96">
      <c r="A96" s="17" t="s">
        <v>76</v>
      </c>
      <c r="B96" s="16" t="s">
        <v>56</v>
      </c>
      <c r="C96" s="19" t="s">
        <v>57</v>
      </c>
      <c r="D96" s="16" t="s">
        <v>58</v>
      </c>
      <c r="E96" s="16" t="s">
        <v>86</v>
      </c>
      <c r="F96" s="20">
        <v>45901.0</v>
      </c>
      <c r="G96" s="19">
        <v>43374.0</v>
      </c>
      <c r="H96" s="21">
        <v>45946.0</v>
      </c>
      <c r="I96" s="22">
        <v>37616.67</v>
      </c>
      <c r="J96" s="19" t="s">
        <v>96</v>
      </c>
      <c r="K96" s="21">
        <v>45976.0</v>
      </c>
      <c r="L96" s="17" t="s">
        <v>7</v>
      </c>
      <c r="M96" s="23" t="s">
        <v>8</v>
      </c>
    </row>
    <row r="97">
      <c r="A97" s="17" t="s">
        <v>76</v>
      </c>
      <c r="B97" s="16" t="s">
        <v>56</v>
      </c>
      <c r="C97" s="19" t="s">
        <v>57</v>
      </c>
      <c r="D97" s="16" t="s">
        <v>58</v>
      </c>
      <c r="E97" s="16" t="s">
        <v>86</v>
      </c>
      <c r="F97" s="20">
        <v>45931.0</v>
      </c>
      <c r="G97" s="19">
        <v>43904.0</v>
      </c>
      <c r="H97" s="21">
        <v>45967.0</v>
      </c>
      <c r="I97" s="22">
        <v>32334.72</v>
      </c>
      <c r="J97" s="19" t="s">
        <v>97</v>
      </c>
      <c r="K97" s="21">
        <v>45997.0</v>
      </c>
      <c r="L97" s="17" t="s">
        <v>7</v>
      </c>
      <c r="M97" s="23" t="s">
        <v>8</v>
      </c>
    </row>
    <row r="98">
      <c r="A98" s="17" t="s">
        <v>76</v>
      </c>
      <c r="B98" s="16" t="s">
        <v>53</v>
      </c>
      <c r="C98" s="19" t="s">
        <v>54</v>
      </c>
      <c r="D98" s="16" t="s">
        <v>55</v>
      </c>
      <c r="E98" s="16" t="s">
        <v>86</v>
      </c>
      <c r="F98" s="20">
        <v>45931.0</v>
      </c>
      <c r="G98" s="19">
        <v>25304.0</v>
      </c>
      <c r="H98" s="21">
        <v>45972.0</v>
      </c>
      <c r="I98" s="22">
        <v>27921.65</v>
      </c>
      <c r="J98" s="19" t="s">
        <v>97</v>
      </c>
      <c r="K98" s="21">
        <v>46034.0</v>
      </c>
      <c r="L98" s="17" t="s">
        <v>7</v>
      </c>
      <c r="M98" s="23" t="s">
        <v>8</v>
      </c>
    </row>
    <row r="99">
      <c r="A99" s="17" t="s">
        <v>76</v>
      </c>
      <c r="B99" s="16" t="s">
        <v>59</v>
      </c>
      <c r="C99" s="19" t="s">
        <v>60</v>
      </c>
      <c r="D99" s="16" t="s">
        <v>61</v>
      </c>
      <c r="E99" s="16" t="s">
        <v>77</v>
      </c>
      <c r="F99" s="20">
        <v>45931.0</v>
      </c>
      <c r="G99" s="19">
        <v>15795.0</v>
      </c>
      <c r="H99" s="21">
        <v>45966.0</v>
      </c>
      <c r="I99" s="22">
        <v>35190.96</v>
      </c>
      <c r="J99" s="19" t="s">
        <v>97</v>
      </c>
      <c r="K99" s="21">
        <v>45996.0</v>
      </c>
      <c r="L99" s="17" t="s">
        <v>14</v>
      </c>
      <c r="M99" s="23" t="s">
        <v>15</v>
      </c>
    </row>
    <row r="100">
      <c r="A100" s="17" t="s">
        <v>76</v>
      </c>
      <c r="B100" s="16" t="s">
        <v>59</v>
      </c>
      <c r="C100" s="19" t="s">
        <v>60</v>
      </c>
      <c r="D100" s="16" t="s">
        <v>61</v>
      </c>
      <c r="E100" s="16" t="s">
        <v>77</v>
      </c>
      <c r="F100" s="20">
        <v>45962.0</v>
      </c>
      <c r="G100" s="19">
        <v>15895.0</v>
      </c>
      <c r="H100" s="21">
        <v>45993.0</v>
      </c>
      <c r="I100" s="22">
        <v>35846.75</v>
      </c>
      <c r="J100" s="19" t="s">
        <v>97</v>
      </c>
      <c r="K100" s="21">
        <v>46023.0</v>
      </c>
      <c r="L100" s="17" t="s">
        <v>14</v>
      </c>
      <c r="M100" s="23" t="s">
        <v>15</v>
      </c>
    </row>
    <row r="101">
      <c r="A101" s="17" t="s">
        <v>76</v>
      </c>
      <c r="B101" s="16" t="s">
        <v>65</v>
      </c>
      <c r="C101" s="19" t="s">
        <v>66</v>
      </c>
      <c r="D101" s="16" t="s">
        <v>19</v>
      </c>
      <c r="E101" s="16" t="s">
        <v>77</v>
      </c>
      <c r="F101" s="20">
        <v>45962.0</v>
      </c>
      <c r="G101" s="19">
        <v>3227.0</v>
      </c>
      <c r="H101" s="21">
        <v>46027.0</v>
      </c>
      <c r="I101" s="22">
        <v>118665.69</v>
      </c>
      <c r="J101" s="19" t="s">
        <v>98</v>
      </c>
      <c r="K101" s="21">
        <v>46073.0</v>
      </c>
      <c r="L101" s="17" t="s">
        <v>10</v>
      </c>
      <c r="M101" s="23" t="s">
        <v>11</v>
      </c>
    </row>
    <row r="102">
      <c r="A102" s="17" t="s">
        <v>76</v>
      </c>
      <c r="B102" s="16" t="s">
        <v>65</v>
      </c>
      <c r="C102" s="19" t="s">
        <v>66</v>
      </c>
      <c r="D102" s="16" t="s">
        <v>19</v>
      </c>
      <c r="E102" s="16" t="s">
        <v>77</v>
      </c>
      <c r="F102" s="20">
        <v>45992.0</v>
      </c>
      <c r="G102" s="19">
        <v>3238.0</v>
      </c>
      <c r="H102" s="21">
        <v>46028.0</v>
      </c>
      <c r="I102" s="22">
        <v>123134.3</v>
      </c>
      <c r="J102" s="19" t="s">
        <v>99</v>
      </c>
      <c r="K102" s="21">
        <v>46074.0</v>
      </c>
      <c r="L102" s="17" t="s">
        <v>10</v>
      </c>
      <c r="M102" s="23" t="s">
        <v>11</v>
      </c>
    </row>
    <row r="103">
      <c r="A103" s="17" t="s">
        <v>76</v>
      </c>
      <c r="B103" s="16" t="s">
        <v>65</v>
      </c>
      <c r="C103" s="19" t="s">
        <v>66</v>
      </c>
      <c r="D103" s="16" t="s">
        <v>19</v>
      </c>
      <c r="E103" s="16" t="s">
        <v>77</v>
      </c>
      <c r="F103" s="20">
        <v>45992.0</v>
      </c>
      <c r="G103" s="19">
        <v>3239.0</v>
      </c>
      <c r="H103" s="21">
        <v>46029.0</v>
      </c>
      <c r="I103" s="22">
        <v>108118.64</v>
      </c>
      <c r="J103" s="19" t="s">
        <v>99</v>
      </c>
      <c r="K103" s="21">
        <v>46075.0</v>
      </c>
      <c r="L103" s="17" t="s">
        <v>14</v>
      </c>
      <c r="M103" s="23" t="s">
        <v>15</v>
      </c>
    </row>
    <row r="104">
      <c r="A104" s="17" t="s">
        <v>84</v>
      </c>
      <c r="B104" s="16" t="s">
        <v>65</v>
      </c>
      <c r="C104" s="19" t="s">
        <v>66</v>
      </c>
      <c r="D104" s="16" t="s">
        <v>19</v>
      </c>
      <c r="E104" s="16" t="s">
        <v>86</v>
      </c>
      <c r="F104" s="20">
        <v>45992.0</v>
      </c>
      <c r="G104" s="17">
        <v>3240.0</v>
      </c>
      <c r="H104" s="21">
        <v>46029.0</v>
      </c>
      <c r="I104" s="22">
        <v>25664.4</v>
      </c>
      <c r="J104" s="19" t="s">
        <v>99</v>
      </c>
      <c r="K104" s="21">
        <v>46075.0</v>
      </c>
      <c r="L104" s="17" t="s">
        <v>7</v>
      </c>
      <c r="M104" s="23" t="s">
        <v>8</v>
      </c>
    </row>
    <row r="105">
      <c r="A105" s="17" t="s">
        <v>84</v>
      </c>
      <c r="B105" s="16" t="s">
        <v>65</v>
      </c>
      <c r="C105" s="19" t="s">
        <v>66</v>
      </c>
      <c r="D105" s="16" t="s">
        <v>19</v>
      </c>
      <c r="E105" s="16" t="s">
        <v>86</v>
      </c>
      <c r="F105" s="20">
        <v>45962.0</v>
      </c>
      <c r="G105" s="17">
        <v>3242.0</v>
      </c>
      <c r="H105" s="21">
        <v>46029.0</v>
      </c>
      <c r="I105" s="22">
        <v>18820.56</v>
      </c>
      <c r="J105" s="19" t="s">
        <v>98</v>
      </c>
      <c r="K105" s="21">
        <v>46075.0</v>
      </c>
      <c r="L105" s="17" t="s">
        <v>7</v>
      </c>
      <c r="M105" s="23" t="s">
        <v>8</v>
      </c>
    </row>
    <row r="106">
      <c r="A106" s="17" t="s">
        <v>76</v>
      </c>
      <c r="B106" s="16" t="s">
        <v>65</v>
      </c>
      <c r="C106" s="19" t="s">
        <v>66</v>
      </c>
      <c r="D106" s="16" t="s">
        <v>19</v>
      </c>
      <c r="E106" s="16" t="s">
        <v>77</v>
      </c>
      <c r="F106" s="20">
        <v>45962.0</v>
      </c>
      <c r="G106" s="19">
        <v>3225.0</v>
      </c>
      <c r="H106" s="21">
        <v>46027.0</v>
      </c>
      <c r="I106" s="22">
        <v>140534.56</v>
      </c>
      <c r="J106" s="19" t="s">
        <v>98</v>
      </c>
      <c r="K106" s="21">
        <v>46073.0</v>
      </c>
      <c r="L106" s="17" t="s">
        <v>14</v>
      </c>
      <c r="M106" s="23" t="s">
        <v>15</v>
      </c>
    </row>
    <row r="107">
      <c r="A107" s="17" t="s">
        <v>76</v>
      </c>
      <c r="B107" s="16" t="s">
        <v>51</v>
      </c>
      <c r="C107" s="19" t="s">
        <v>52</v>
      </c>
      <c r="D107" s="16" t="s">
        <v>28</v>
      </c>
      <c r="E107" s="16" t="s">
        <v>86</v>
      </c>
      <c r="F107" s="20">
        <v>45931.0</v>
      </c>
      <c r="G107" s="19">
        <v>155319.0</v>
      </c>
      <c r="H107" s="21">
        <v>46036.0</v>
      </c>
      <c r="I107" s="22">
        <v>49864.32</v>
      </c>
      <c r="J107" s="19" t="s">
        <v>97</v>
      </c>
      <c r="K107" s="21">
        <v>46096.0</v>
      </c>
      <c r="L107" s="17" t="s">
        <v>7</v>
      </c>
      <c r="M107" s="23" t="s">
        <v>8</v>
      </c>
    </row>
    <row r="108">
      <c r="A108" s="17" t="s">
        <v>76</v>
      </c>
      <c r="B108" s="16" t="s">
        <v>51</v>
      </c>
      <c r="C108" s="19" t="s">
        <v>52</v>
      </c>
      <c r="D108" s="16" t="s">
        <v>28</v>
      </c>
      <c r="E108" s="16" t="s">
        <v>77</v>
      </c>
      <c r="F108" s="20">
        <v>45931.0</v>
      </c>
      <c r="G108" s="19">
        <v>155318.0</v>
      </c>
      <c r="H108" s="21">
        <v>46036.0</v>
      </c>
      <c r="I108" s="22">
        <v>95494.89</v>
      </c>
      <c r="J108" s="19" t="s">
        <v>97</v>
      </c>
      <c r="K108" s="21">
        <v>46096.0</v>
      </c>
      <c r="L108" s="17" t="s">
        <v>14</v>
      </c>
      <c r="M108" s="23" t="s">
        <v>15</v>
      </c>
    </row>
    <row r="109">
      <c r="A109" s="17" t="s">
        <v>76</v>
      </c>
      <c r="B109" s="16" t="s">
        <v>51</v>
      </c>
      <c r="C109" s="19" t="s">
        <v>52</v>
      </c>
      <c r="D109" s="16" t="s">
        <v>28</v>
      </c>
      <c r="E109" s="16" t="s">
        <v>86</v>
      </c>
      <c r="F109" s="20">
        <v>45931.0</v>
      </c>
      <c r="G109" s="19">
        <v>155320.0</v>
      </c>
      <c r="H109" s="21">
        <v>46036.0</v>
      </c>
      <c r="I109" s="22">
        <v>26650.8</v>
      </c>
      <c r="J109" s="19" t="s">
        <v>96</v>
      </c>
      <c r="K109" s="21">
        <v>46096.0</v>
      </c>
      <c r="L109" s="17" t="s">
        <v>7</v>
      </c>
      <c r="M109" s="23" t="s">
        <v>8</v>
      </c>
    </row>
    <row r="110">
      <c r="A110" s="17" t="s">
        <v>76</v>
      </c>
      <c r="B110" s="16" t="s">
        <v>51</v>
      </c>
      <c r="C110" s="19" t="s">
        <v>52</v>
      </c>
      <c r="D110" s="16" t="s">
        <v>28</v>
      </c>
      <c r="E110" s="16" t="s">
        <v>86</v>
      </c>
      <c r="F110" s="20">
        <v>45931.0</v>
      </c>
      <c r="G110" s="19">
        <v>155317.0</v>
      </c>
      <c r="H110" s="21">
        <v>46036.0</v>
      </c>
      <c r="I110" s="22">
        <v>148971.0</v>
      </c>
      <c r="J110" s="19" t="s">
        <v>96</v>
      </c>
      <c r="K110" s="21">
        <v>46096.0</v>
      </c>
      <c r="L110" s="17" t="s">
        <v>7</v>
      </c>
      <c r="M110" s="23" t="s">
        <v>8</v>
      </c>
    </row>
    <row r="111">
      <c r="A111" s="17" t="s">
        <v>76</v>
      </c>
      <c r="B111" s="16" t="s">
        <v>51</v>
      </c>
      <c r="C111" s="19" t="s">
        <v>52</v>
      </c>
      <c r="D111" s="16" t="s">
        <v>28</v>
      </c>
      <c r="E111" s="16" t="s">
        <v>77</v>
      </c>
      <c r="F111" s="20">
        <v>45931.0</v>
      </c>
      <c r="G111" s="19">
        <v>155316.0</v>
      </c>
      <c r="H111" s="21">
        <v>46036.0</v>
      </c>
      <c r="I111" s="22">
        <v>34359.79</v>
      </c>
      <c r="J111" s="19" t="s">
        <v>96</v>
      </c>
      <c r="K111" s="21">
        <v>46096.0</v>
      </c>
      <c r="L111" s="17" t="s">
        <v>14</v>
      </c>
      <c r="M111" s="23" t="s">
        <v>15</v>
      </c>
    </row>
    <row r="112">
      <c r="A112" s="17" t="s">
        <v>76</v>
      </c>
      <c r="B112" s="16" t="s">
        <v>51</v>
      </c>
      <c r="C112" s="19" t="s">
        <v>52</v>
      </c>
      <c r="D112" s="16" t="s">
        <v>28</v>
      </c>
      <c r="E112" s="16" t="s">
        <v>77</v>
      </c>
      <c r="F112" s="20">
        <v>45962.0</v>
      </c>
      <c r="G112" s="19">
        <v>155329.0</v>
      </c>
      <c r="H112" s="21">
        <v>46036.0</v>
      </c>
      <c r="I112" s="22">
        <v>86486.94</v>
      </c>
      <c r="J112" s="19" t="s">
        <v>98</v>
      </c>
      <c r="K112" s="21">
        <v>46096.0</v>
      </c>
      <c r="L112" s="17" t="s">
        <v>14</v>
      </c>
      <c r="M112" s="23" t="s">
        <v>15</v>
      </c>
    </row>
    <row r="113">
      <c r="A113" s="17" t="s">
        <v>76</v>
      </c>
      <c r="B113" s="16" t="s">
        <v>51</v>
      </c>
      <c r="C113" s="19" t="s">
        <v>52</v>
      </c>
      <c r="D113" s="16" t="s">
        <v>28</v>
      </c>
      <c r="E113" s="16" t="s">
        <v>86</v>
      </c>
      <c r="F113" s="20">
        <v>45962.0</v>
      </c>
      <c r="G113" s="19">
        <v>155315.0</v>
      </c>
      <c r="H113" s="21">
        <v>46036.0</v>
      </c>
      <c r="I113" s="22">
        <v>140476.58</v>
      </c>
      <c r="J113" s="19" t="s">
        <v>98</v>
      </c>
      <c r="K113" s="21">
        <v>46096.0</v>
      </c>
      <c r="L113" s="17" t="s">
        <v>7</v>
      </c>
      <c r="M113" s="23" t="s">
        <v>8</v>
      </c>
    </row>
    <row r="114">
      <c r="A114" s="17" t="s">
        <v>76</v>
      </c>
      <c r="B114" s="16" t="s">
        <v>51</v>
      </c>
      <c r="C114" s="19" t="s">
        <v>52</v>
      </c>
      <c r="D114" s="16" t="s">
        <v>28</v>
      </c>
      <c r="E114" s="16" t="s">
        <v>77</v>
      </c>
      <c r="F114" s="20">
        <v>45962.0</v>
      </c>
      <c r="G114" s="19">
        <v>155314.0</v>
      </c>
      <c r="H114" s="21">
        <v>46036.0</v>
      </c>
      <c r="I114" s="22">
        <v>28066.47</v>
      </c>
      <c r="J114" s="19" t="s">
        <v>98</v>
      </c>
      <c r="K114" s="21">
        <v>46096.0</v>
      </c>
      <c r="L114" s="17" t="s">
        <v>14</v>
      </c>
      <c r="M114" s="23" t="s">
        <v>15</v>
      </c>
    </row>
    <row r="115">
      <c r="A115" s="17" t="s">
        <v>76</v>
      </c>
      <c r="B115" s="16" t="s">
        <v>51</v>
      </c>
      <c r="C115" s="19" t="s">
        <v>52</v>
      </c>
      <c r="D115" s="16" t="s">
        <v>28</v>
      </c>
      <c r="E115" s="16" t="s">
        <v>86</v>
      </c>
      <c r="F115" s="20">
        <v>45962.0</v>
      </c>
      <c r="G115" s="19">
        <v>155313.0</v>
      </c>
      <c r="H115" s="21">
        <v>46036.0</v>
      </c>
      <c r="I115" s="22">
        <v>39143.36</v>
      </c>
      <c r="J115" s="19" t="s">
        <v>98</v>
      </c>
      <c r="K115" s="21">
        <v>46096.0</v>
      </c>
      <c r="L115" s="17" t="s">
        <v>7</v>
      </c>
      <c r="M115" s="23" t="s">
        <v>8</v>
      </c>
    </row>
    <row r="116">
      <c r="A116" s="17" t="s">
        <v>76</v>
      </c>
      <c r="B116" s="16" t="s">
        <v>51</v>
      </c>
      <c r="C116" s="19" t="s">
        <v>52</v>
      </c>
      <c r="D116" s="16" t="s">
        <v>28</v>
      </c>
      <c r="E116" s="16" t="s">
        <v>86</v>
      </c>
      <c r="F116" s="20">
        <v>45962.0</v>
      </c>
      <c r="G116" s="19">
        <v>155312.0</v>
      </c>
      <c r="H116" s="21">
        <v>46036.0</v>
      </c>
      <c r="I116" s="22">
        <v>27198.72</v>
      </c>
      <c r="J116" s="19" t="s">
        <v>98</v>
      </c>
      <c r="K116" s="21">
        <v>46096.0</v>
      </c>
      <c r="L116" s="17" t="s">
        <v>7</v>
      </c>
      <c r="M116" s="23" t="s">
        <v>8</v>
      </c>
    </row>
    <row r="117">
      <c r="A117" s="17" t="s">
        <v>76</v>
      </c>
      <c r="B117" s="16" t="s">
        <v>51</v>
      </c>
      <c r="C117" s="19" t="s">
        <v>52</v>
      </c>
      <c r="D117" s="16" t="s">
        <v>28</v>
      </c>
      <c r="E117" s="16" t="s">
        <v>77</v>
      </c>
      <c r="F117" s="20">
        <v>45992.0</v>
      </c>
      <c r="G117" s="19">
        <v>155311.0</v>
      </c>
      <c r="H117" s="21">
        <v>46036.0</v>
      </c>
      <c r="I117" s="22">
        <v>21055.66</v>
      </c>
      <c r="J117" s="19" t="s">
        <v>99</v>
      </c>
      <c r="K117" s="21">
        <v>46096.0</v>
      </c>
      <c r="L117" s="17" t="s">
        <v>14</v>
      </c>
      <c r="M117" s="23" t="s">
        <v>15</v>
      </c>
    </row>
    <row r="118">
      <c r="A118" s="17" t="s">
        <v>76</v>
      </c>
      <c r="B118" s="16" t="s">
        <v>51</v>
      </c>
      <c r="C118" s="19" t="s">
        <v>52</v>
      </c>
      <c r="D118" s="16" t="s">
        <v>28</v>
      </c>
      <c r="E118" s="16" t="s">
        <v>86</v>
      </c>
      <c r="F118" s="20">
        <v>45992.0</v>
      </c>
      <c r="G118" s="19">
        <v>155310.0</v>
      </c>
      <c r="H118" s="21">
        <v>46036.0</v>
      </c>
      <c r="I118" s="22">
        <v>129724.74</v>
      </c>
      <c r="J118" s="19" t="s">
        <v>99</v>
      </c>
      <c r="K118" s="21">
        <v>46096.0</v>
      </c>
      <c r="L118" s="17" t="s">
        <v>7</v>
      </c>
      <c r="M118" s="23" t="s">
        <v>8</v>
      </c>
    </row>
    <row r="119">
      <c r="A119" s="17" t="s">
        <v>76</v>
      </c>
      <c r="B119" s="16" t="s">
        <v>51</v>
      </c>
      <c r="C119" s="19" t="s">
        <v>52</v>
      </c>
      <c r="D119" s="16" t="s">
        <v>28</v>
      </c>
      <c r="E119" s="16" t="s">
        <v>77</v>
      </c>
      <c r="F119" s="20">
        <v>45992.0</v>
      </c>
      <c r="G119" s="19">
        <v>155309.0</v>
      </c>
      <c r="H119" s="21">
        <v>46036.0</v>
      </c>
      <c r="I119" s="22">
        <v>73313.63</v>
      </c>
      <c r="J119" s="19" t="s">
        <v>99</v>
      </c>
      <c r="K119" s="21">
        <v>46096.0</v>
      </c>
      <c r="L119" s="17" t="s">
        <v>14</v>
      </c>
      <c r="M119" s="23" t="s">
        <v>15</v>
      </c>
    </row>
    <row r="120">
      <c r="A120" s="17" t="s">
        <v>76</v>
      </c>
      <c r="B120" s="16" t="s">
        <v>51</v>
      </c>
      <c r="C120" s="19" t="s">
        <v>52</v>
      </c>
      <c r="D120" s="16" t="s">
        <v>28</v>
      </c>
      <c r="E120" s="16" t="s">
        <v>86</v>
      </c>
      <c r="F120" s="20">
        <v>45992.0</v>
      </c>
      <c r="G120" s="19">
        <v>155308.0</v>
      </c>
      <c r="H120" s="21">
        <v>46036.0</v>
      </c>
      <c r="I120" s="22">
        <v>45331.2</v>
      </c>
      <c r="J120" s="19" t="s">
        <v>99</v>
      </c>
      <c r="K120" s="21">
        <v>46096.0</v>
      </c>
      <c r="L120" s="17" t="s">
        <v>7</v>
      </c>
      <c r="M120" s="23" t="s">
        <v>8</v>
      </c>
    </row>
    <row r="121">
      <c r="A121" s="17" t="s">
        <v>76</v>
      </c>
      <c r="B121" s="16" t="s">
        <v>51</v>
      </c>
      <c r="C121" s="19" t="s">
        <v>52</v>
      </c>
      <c r="D121" s="16" t="s">
        <v>28</v>
      </c>
      <c r="E121" s="16" t="s">
        <v>86</v>
      </c>
      <c r="F121" s="20">
        <v>45992.0</v>
      </c>
      <c r="G121" s="19">
        <v>155307.0</v>
      </c>
      <c r="H121" s="21">
        <v>46036.0</v>
      </c>
      <c r="I121" s="22">
        <v>26852.9</v>
      </c>
      <c r="J121" s="19" t="s">
        <v>99</v>
      </c>
      <c r="K121" s="21">
        <v>46096.0</v>
      </c>
      <c r="L121" s="17" t="s">
        <v>7</v>
      </c>
      <c r="M121" s="23" t="s">
        <v>8</v>
      </c>
    </row>
    <row r="122">
      <c r="A122" s="17" t="s">
        <v>76</v>
      </c>
      <c r="B122" s="16" t="s">
        <v>56</v>
      </c>
      <c r="C122" s="19" t="s">
        <v>57</v>
      </c>
      <c r="D122" s="16" t="s">
        <v>58</v>
      </c>
      <c r="E122" s="16" t="s">
        <v>86</v>
      </c>
      <c r="F122" s="20">
        <v>45962.0</v>
      </c>
      <c r="G122" s="19">
        <v>45391.0</v>
      </c>
      <c r="H122" s="21">
        <v>46000.0</v>
      </c>
      <c r="I122" s="22">
        <v>32334.72</v>
      </c>
      <c r="J122" s="19" t="s">
        <v>98</v>
      </c>
      <c r="K122" s="21">
        <v>46030.0</v>
      </c>
      <c r="L122" s="17" t="s">
        <v>7</v>
      </c>
      <c r="M122" s="23" t="s">
        <v>8</v>
      </c>
    </row>
    <row r="123">
      <c r="A123" s="17" t="s">
        <v>76</v>
      </c>
      <c r="B123" s="16" t="s">
        <v>56</v>
      </c>
      <c r="C123" s="19" t="s">
        <v>57</v>
      </c>
      <c r="D123" s="16" t="s">
        <v>58</v>
      </c>
      <c r="E123" s="16" t="s">
        <v>86</v>
      </c>
      <c r="F123" s="20">
        <v>45992.0</v>
      </c>
      <c r="G123" s="19">
        <v>46398.0</v>
      </c>
      <c r="H123" s="21">
        <v>46038.0</v>
      </c>
      <c r="I123" s="22">
        <v>30218.4</v>
      </c>
      <c r="J123" s="19" t="s">
        <v>99</v>
      </c>
      <c r="K123" s="21">
        <v>46068.0</v>
      </c>
      <c r="L123" s="17" t="s">
        <v>7</v>
      </c>
      <c r="M123" s="23" t="s">
        <v>8</v>
      </c>
    </row>
    <row r="124">
      <c r="A124" s="17" t="s">
        <v>76</v>
      </c>
      <c r="B124" s="16" t="s">
        <v>65</v>
      </c>
      <c r="C124" s="19" t="s">
        <v>66</v>
      </c>
      <c r="D124" s="16" t="s">
        <v>19</v>
      </c>
      <c r="E124" s="16" t="s">
        <v>86</v>
      </c>
      <c r="F124" s="20">
        <v>45992.0</v>
      </c>
      <c r="G124" s="19">
        <v>3251.0</v>
      </c>
      <c r="H124" s="21">
        <v>46048.0</v>
      </c>
      <c r="I124" s="22">
        <v>25664.4</v>
      </c>
      <c r="J124" s="19" t="s">
        <v>99</v>
      </c>
      <c r="K124" s="21">
        <v>46094.0</v>
      </c>
      <c r="L124" s="17" t="s">
        <v>7</v>
      </c>
      <c r="M124" s="23" t="s">
        <v>8</v>
      </c>
    </row>
    <row r="125">
      <c r="A125" s="17" t="s">
        <v>76</v>
      </c>
      <c r="B125" s="16" t="s">
        <v>65</v>
      </c>
      <c r="C125" s="19" t="s">
        <v>66</v>
      </c>
      <c r="D125" s="16" t="s">
        <v>19</v>
      </c>
      <c r="E125" s="16" t="s">
        <v>86</v>
      </c>
      <c r="F125" s="20">
        <v>45962.0</v>
      </c>
      <c r="G125" s="19">
        <v>3252.0</v>
      </c>
      <c r="H125" s="21">
        <v>46048.0</v>
      </c>
      <c r="I125" s="22">
        <v>18820.56</v>
      </c>
      <c r="J125" s="19" t="s">
        <v>98</v>
      </c>
      <c r="K125" s="21">
        <v>46094.0</v>
      </c>
      <c r="L125" s="17" t="s">
        <v>7</v>
      </c>
      <c r="M125" s="23" t="s">
        <v>8</v>
      </c>
    </row>
    <row r="126">
      <c r="A126" s="17" t="s">
        <v>76</v>
      </c>
      <c r="B126" s="16" t="s">
        <v>51</v>
      </c>
      <c r="C126" s="19" t="s">
        <v>52</v>
      </c>
      <c r="D126" s="16" t="s">
        <v>28</v>
      </c>
      <c r="E126" s="16" t="s">
        <v>77</v>
      </c>
      <c r="F126" s="20">
        <v>46023.0</v>
      </c>
      <c r="G126" s="19">
        <v>155805.0</v>
      </c>
      <c r="H126" s="21">
        <v>46055.0</v>
      </c>
      <c r="I126" s="22">
        <v>32699.44</v>
      </c>
      <c r="J126" s="19" t="s">
        <v>100</v>
      </c>
      <c r="K126" s="21">
        <v>46115.0</v>
      </c>
      <c r="L126" s="17" t="s">
        <v>14</v>
      </c>
      <c r="M126" s="23" t="s">
        <v>15</v>
      </c>
    </row>
    <row r="127">
      <c r="A127" s="17" t="s">
        <v>76</v>
      </c>
      <c r="B127" s="16" t="s">
        <v>51</v>
      </c>
      <c r="C127" s="19" t="s">
        <v>52</v>
      </c>
      <c r="D127" s="16" t="s">
        <v>28</v>
      </c>
      <c r="E127" s="16" t="s">
        <v>86</v>
      </c>
      <c r="F127" s="20">
        <v>46023.0</v>
      </c>
      <c r="G127" s="19">
        <v>155816.0</v>
      </c>
      <c r="H127" s="21">
        <v>46055.0</v>
      </c>
      <c r="I127" s="22">
        <v>147462.24</v>
      </c>
      <c r="J127" s="19" t="s">
        <v>100</v>
      </c>
      <c r="K127" s="21">
        <v>46115.0</v>
      </c>
      <c r="L127" s="17" t="s">
        <v>7</v>
      </c>
      <c r="M127" s="23" t="s">
        <v>8</v>
      </c>
    </row>
    <row r="128">
      <c r="A128" s="17" t="s">
        <v>76</v>
      </c>
      <c r="B128" s="16" t="s">
        <v>51</v>
      </c>
      <c r="C128" s="19" t="s">
        <v>52</v>
      </c>
      <c r="D128" s="16" t="s">
        <v>28</v>
      </c>
      <c r="E128" s="16" t="s">
        <v>86</v>
      </c>
      <c r="F128" s="20">
        <v>46023.0</v>
      </c>
      <c r="G128" s="19">
        <v>155800.0</v>
      </c>
      <c r="H128" s="21">
        <v>46055.0</v>
      </c>
      <c r="I128" s="22">
        <v>50359.68</v>
      </c>
      <c r="J128" s="19" t="s">
        <v>100</v>
      </c>
      <c r="K128" s="21">
        <v>46115.0</v>
      </c>
      <c r="L128" s="17" t="s">
        <v>7</v>
      </c>
      <c r="M128" s="23" t="s">
        <v>8</v>
      </c>
    </row>
    <row r="129">
      <c r="A129" s="17" t="s">
        <v>76</v>
      </c>
      <c r="B129" s="16" t="s">
        <v>51</v>
      </c>
      <c r="C129" s="19" t="s">
        <v>52</v>
      </c>
      <c r="D129" s="16" t="s">
        <v>28</v>
      </c>
      <c r="E129" s="16" t="s">
        <v>86</v>
      </c>
      <c r="F129" s="20">
        <v>46023.0</v>
      </c>
      <c r="G129" s="19">
        <v>155809.0</v>
      </c>
      <c r="H129" s="21">
        <v>46055.0</v>
      </c>
      <c r="I129" s="22">
        <v>21102.99</v>
      </c>
      <c r="J129" s="19" t="s">
        <v>100</v>
      </c>
      <c r="K129" s="21">
        <v>46115.0</v>
      </c>
      <c r="L129" s="17" t="s">
        <v>7</v>
      </c>
      <c r="M129" s="23" t="s">
        <v>8</v>
      </c>
    </row>
    <row r="130">
      <c r="A130" s="17" t="s">
        <v>76</v>
      </c>
      <c r="B130" s="16" t="s">
        <v>51</v>
      </c>
      <c r="C130" s="19" t="s">
        <v>52</v>
      </c>
      <c r="D130" s="16" t="s">
        <v>28</v>
      </c>
      <c r="E130" s="16" t="s">
        <v>77</v>
      </c>
      <c r="F130" s="20">
        <v>46023.0</v>
      </c>
      <c r="G130" s="19">
        <v>155818.0</v>
      </c>
      <c r="H130" s="21">
        <v>46056.0</v>
      </c>
      <c r="I130" s="22">
        <v>76755.95</v>
      </c>
      <c r="J130" s="19" t="s">
        <v>100</v>
      </c>
      <c r="K130" s="21">
        <v>46116.0</v>
      </c>
      <c r="L130" s="17" t="s">
        <v>14</v>
      </c>
      <c r="M130" s="23" t="s">
        <v>15</v>
      </c>
    </row>
    <row r="131">
      <c r="A131" s="17" t="s">
        <v>76</v>
      </c>
      <c r="B131" s="16" t="s">
        <v>65</v>
      </c>
      <c r="C131" s="19" t="s">
        <v>66</v>
      </c>
      <c r="D131" s="16" t="s">
        <v>19</v>
      </c>
      <c r="E131" s="16" t="s">
        <v>77</v>
      </c>
      <c r="F131" s="20">
        <v>46023.0</v>
      </c>
      <c r="G131" s="19">
        <v>3274.0</v>
      </c>
      <c r="H131" s="21">
        <v>46058.0</v>
      </c>
      <c r="I131" s="22">
        <v>46045.65</v>
      </c>
      <c r="J131" s="19" t="s">
        <v>100</v>
      </c>
      <c r="K131" s="21">
        <v>46104.0</v>
      </c>
      <c r="L131" s="17" t="s">
        <v>14</v>
      </c>
      <c r="M131" s="23" t="s">
        <v>15</v>
      </c>
    </row>
    <row r="132">
      <c r="A132" s="17" t="s">
        <v>76</v>
      </c>
      <c r="B132" s="16" t="s">
        <v>65</v>
      </c>
      <c r="C132" s="19" t="s">
        <v>66</v>
      </c>
      <c r="D132" s="16" t="s">
        <v>19</v>
      </c>
      <c r="E132" s="16" t="s">
        <v>86</v>
      </c>
      <c r="F132" s="20">
        <v>46023.0</v>
      </c>
      <c r="G132" s="19">
        <v>3276.0</v>
      </c>
      <c r="H132" s="21">
        <v>46058.0</v>
      </c>
      <c r="I132" s="22">
        <v>33791.46</v>
      </c>
      <c r="J132" s="19" t="s">
        <v>100</v>
      </c>
      <c r="K132" s="21">
        <v>46104.0</v>
      </c>
      <c r="L132" s="17" t="s">
        <v>7</v>
      </c>
      <c r="M132" s="23" t="s">
        <v>8</v>
      </c>
    </row>
    <row r="133">
      <c r="A133" s="17" t="s">
        <v>76</v>
      </c>
      <c r="B133" s="16" t="s">
        <v>65</v>
      </c>
      <c r="C133" s="19" t="s">
        <v>66</v>
      </c>
      <c r="D133" s="16" t="s">
        <v>19</v>
      </c>
      <c r="E133" s="16" t="s">
        <v>77</v>
      </c>
      <c r="F133" s="20">
        <v>46023.0</v>
      </c>
      <c r="G133" s="19">
        <v>3275.0</v>
      </c>
      <c r="H133" s="21">
        <v>46058.0</v>
      </c>
      <c r="I133" s="22">
        <v>118699.27</v>
      </c>
      <c r="J133" s="19" t="s">
        <v>100</v>
      </c>
      <c r="K133" s="21">
        <v>46104.0</v>
      </c>
      <c r="L133" s="17" t="s">
        <v>12</v>
      </c>
      <c r="M133" s="23" t="s">
        <v>13</v>
      </c>
    </row>
    <row r="134">
      <c r="A134" s="17" t="s">
        <v>76</v>
      </c>
      <c r="B134" s="16" t="s">
        <v>65</v>
      </c>
      <c r="C134" s="19" t="s">
        <v>66</v>
      </c>
      <c r="D134" s="16" t="s">
        <v>19</v>
      </c>
      <c r="E134" s="16" t="s">
        <v>77</v>
      </c>
      <c r="F134" s="20">
        <v>46023.0</v>
      </c>
      <c r="G134" s="19">
        <v>3273.0</v>
      </c>
      <c r="H134" s="21">
        <v>46058.0</v>
      </c>
      <c r="I134" s="22">
        <v>56033.94</v>
      </c>
      <c r="J134" s="19" t="s">
        <v>99</v>
      </c>
      <c r="K134" s="21">
        <v>46104.0</v>
      </c>
      <c r="L134" s="17" t="s">
        <v>16</v>
      </c>
      <c r="M134" s="23" t="s">
        <v>17</v>
      </c>
    </row>
    <row r="135">
      <c r="A135" s="17" t="s">
        <v>76</v>
      </c>
      <c r="B135" s="16" t="s">
        <v>51</v>
      </c>
      <c r="C135" s="19" t="s">
        <v>52</v>
      </c>
      <c r="D135" s="16" t="s">
        <v>28</v>
      </c>
      <c r="E135" s="16" t="s">
        <v>77</v>
      </c>
      <c r="F135" s="20">
        <v>46054.0</v>
      </c>
      <c r="G135" s="19">
        <v>156493.0</v>
      </c>
      <c r="H135" s="21">
        <v>46084.0</v>
      </c>
      <c r="I135" s="22">
        <v>159602.31</v>
      </c>
      <c r="J135" s="19" t="s">
        <v>101</v>
      </c>
      <c r="K135" s="21">
        <v>46144.0</v>
      </c>
      <c r="L135" s="17" t="s">
        <v>14</v>
      </c>
      <c r="M135" s="23" t="s">
        <v>15</v>
      </c>
    </row>
    <row r="136">
      <c r="A136" s="17" t="s">
        <v>76</v>
      </c>
      <c r="B136" s="16" t="s">
        <v>65</v>
      </c>
      <c r="C136" s="19" t="s">
        <v>66</v>
      </c>
      <c r="D136" s="16" t="s">
        <v>19</v>
      </c>
      <c r="E136" s="16" t="s">
        <v>77</v>
      </c>
      <c r="F136" s="20">
        <v>46054.0</v>
      </c>
      <c r="G136" s="19">
        <v>3296.0</v>
      </c>
      <c r="H136" s="21">
        <v>46085.0</v>
      </c>
      <c r="I136" s="22">
        <v>136619.83</v>
      </c>
      <c r="J136" s="19" t="s">
        <v>101</v>
      </c>
      <c r="K136" s="21">
        <v>46131.0</v>
      </c>
      <c r="L136" s="17" t="s">
        <v>14</v>
      </c>
      <c r="M136" s="23" t="s">
        <v>15</v>
      </c>
    </row>
    <row r="137">
      <c r="A137" s="17" t="s">
        <v>76</v>
      </c>
      <c r="B137" s="16" t="s">
        <v>65</v>
      </c>
      <c r="C137" s="19" t="s">
        <v>66</v>
      </c>
      <c r="D137" s="16" t="s">
        <v>19</v>
      </c>
      <c r="E137" s="16" t="s">
        <v>77</v>
      </c>
      <c r="F137" s="20">
        <v>46054.0</v>
      </c>
      <c r="G137" s="19">
        <v>3297.0</v>
      </c>
      <c r="H137" s="21">
        <v>46085.0</v>
      </c>
      <c r="I137" s="22">
        <v>126477.51</v>
      </c>
      <c r="J137" s="19" t="s">
        <v>101</v>
      </c>
      <c r="K137" s="21">
        <v>46131.0</v>
      </c>
      <c r="L137" s="17" t="s">
        <v>12</v>
      </c>
      <c r="M137" s="23" t="s">
        <v>13</v>
      </c>
    </row>
    <row r="138">
      <c r="A138" s="20"/>
      <c r="B138" s="19"/>
      <c r="C138" s="19"/>
      <c r="D138" s="19"/>
      <c r="E138" s="19"/>
      <c r="F138" s="20"/>
      <c r="G138" s="19"/>
      <c r="H138" s="21"/>
      <c r="I138" s="22"/>
      <c r="J138" s="19"/>
      <c r="K138" s="21"/>
      <c r="L138" s="19"/>
      <c r="M138" s="23"/>
    </row>
    <row r="139">
      <c r="A139" s="20"/>
      <c r="B139" s="19"/>
      <c r="C139" s="19"/>
      <c r="D139" s="19"/>
      <c r="E139" s="19"/>
      <c r="F139" s="20"/>
      <c r="G139" s="19"/>
      <c r="H139" s="21"/>
      <c r="I139" s="22"/>
      <c r="J139" s="19"/>
      <c r="K139" s="21"/>
      <c r="L139" s="19"/>
      <c r="M139" s="23"/>
    </row>
    <row r="140">
      <c r="A140" s="20"/>
      <c r="B140" s="19"/>
      <c r="C140" s="19"/>
      <c r="D140" s="19"/>
      <c r="E140" s="19"/>
      <c r="F140" s="20"/>
      <c r="G140" s="19"/>
      <c r="H140" s="21"/>
      <c r="I140" s="22"/>
      <c r="J140" s="19"/>
      <c r="K140" s="21"/>
      <c r="L140" s="19"/>
      <c r="M140" s="23"/>
    </row>
    <row r="141">
      <c r="A141" s="20"/>
      <c r="B141" s="19"/>
      <c r="C141" s="19"/>
      <c r="D141" s="19"/>
      <c r="E141" s="19"/>
      <c r="F141" s="20"/>
      <c r="G141" s="19"/>
      <c r="H141" s="21"/>
      <c r="I141" s="22"/>
      <c r="J141" s="19"/>
      <c r="K141" s="21"/>
      <c r="L141" s="19"/>
      <c r="M141" s="23"/>
    </row>
    <row r="142">
      <c r="A142" s="20"/>
      <c r="B142" s="19"/>
      <c r="C142" s="19"/>
      <c r="D142" s="19"/>
      <c r="E142" s="19"/>
      <c r="F142" s="20"/>
      <c r="G142" s="19"/>
      <c r="H142" s="21"/>
      <c r="I142" s="22"/>
      <c r="J142" s="19"/>
      <c r="K142" s="21"/>
      <c r="L142" s="19"/>
      <c r="M142" s="23"/>
    </row>
    <row r="143">
      <c r="A143" s="19"/>
      <c r="B143" s="19"/>
      <c r="C143" s="19"/>
      <c r="D143" s="19"/>
      <c r="E143" s="19"/>
      <c r="F143" s="19"/>
      <c r="G143" s="19"/>
      <c r="H143" s="19"/>
      <c r="I143" s="22"/>
      <c r="J143" s="19"/>
      <c r="K143" s="19"/>
      <c r="L143" s="19"/>
      <c r="M143" s="23"/>
    </row>
    <row r="144">
      <c r="A144" s="19"/>
      <c r="B144" s="19"/>
      <c r="C144" s="19"/>
      <c r="D144" s="19"/>
      <c r="E144" s="19"/>
      <c r="F144" s="19"/>
      <c r="G144" s="19"/>
      <c r="H144" s="19"/>
      <c r="I144" s="22"/>
      <c r="J144" s="19"/>
      <c r="K144" s="19"/>
      <c r="L144" s="19"/>
      <c r="M144" s="23"/>
    </row>
    <row r="145">
      <c r="A145" s="19"/>
      <c r="B145" s="19"/>
      <c r="C145" s="19"/>
      <c r="D145" s="19"/>
      <c r="E145" s="19"/>
      <c r="F145" s="19"/>
      <c r="G145" s="19"/>
      <c r="H145" s="19"/>
      <c r="I145" s="22"/>
      <c r="J145" s="19"/>
      <c r="K145" s="19"/>
      <c r="L145" s="19"/>
      <c r="M145" s="23"/>
    </row>
    <row r="146">
      <c r="A146" s="19"/>
      <c r="B146" s="19"/>
      <c r="C146" s="19"/>
      <c r="D146" s="19"/>
      <c r="E146" s="19"/>
      <c r="F146" s="19"/>
      <c r="G146" s="19"/>
      <c r="H146" s="19"/>
      <c r="I146" s="22"/>
      <c r="J146" s="19"/>
      <c r="K146" s="19"/>
      <c r="L146" s="19"/>
      <c r="M146" s="23"/>
    </row>
    <row r="147">
      <c r="A147" s="19"/>
      <c r="B147" s="19"/>
      <c r="C147" s="19"/>
      <c r="D147" s="19"/>
      <c r="E147" s="19"/>
      <c r="F147" s="19"/>
      <c r="G147" s="19"/>
      <c r="H147" s="19"/>
      <c r="I147" s="22"/>
      <c r="J147" s="19"/>
      <c r="K147" s="19"/>
      <c r="L147" s="19"/>
      <c r="M147" s="23"/>
    </row>
    <row r="148">
      <c r="A148" s="19"/>
      <c r="B148" s="19"/>
      <c r="C148" s="19"/>
      <c r="D148" s="19"/>
      <c r="E148" s="19"/>
      <c r="F148" s="19"/>
      <c r="G148" s="19"/>
      <c r="H148" s="19"/>
      <c r="I148" s="22"/>
      <c r="J148" s="19"/>
      <c r="K148" s="19"/>
      <c r="L148" s="19"/>
      <c r="M148" s="23"/>
    </row>
    <row r="149">
      <c r="A149" s="19"/>
      <c r="B149" s="19"/>
      <c r="C149" s="19"/>
      <c r="D149" s="19"/>
      <c r="E149" s="19"/>
      <c r="F149" s="19"/>
      <c r="G149" s="19"/>
      <c r="H149" s="19"/>
      <c r="I149" s="22"/>
      <c r="J149" s="19"/>
      <c r="K149" s="19"/>
      <c r="L149" s="19"/>
      <c r="M149" s="23"/>
    </row>
    <row r="150">
      <c r="A150" s="19"/>
      <c r="B150" s="19"/>
      <c r="C150" s="19"/>
      <c r="D150" s="19"/>
      <c r="E150" s="19"/>
      <c r="F150" s="19"/>
      <c r="G150" s="19"/>
      <c r="H150" s="19"/>
      <c r="I150" s="22"/>
      <c r="J150" s="19"/>
      <c r="K150" s="19"/>
      <c r="L150" s="19"/>
      <c r="M150" s="23"/>
    </row>
    <row r="151">
      <c r="A151" s="19"/>
      <c r="B151" s="19"/>
      <c r="C151" s="19"/>
      <c r="D151" s="19"/>
      <c r="E151" s="19"/>
      <c r="F151" s="19"/>
      <c r="G151" s="19"/>
      <c r="H151" s="19"/>
      <c r="I151" s="22"/>
      <c r="J151" s="19"/>
      <c r="K151" s="19"/>
      <c r="L151" s="19"/>
      <c r="M151" s="23"/>
    </row>
    <row r="152">
      <c r="A152" s="19"/>
      <c r="B152" s="19"/>
      <c r="C152" s="19"/>
      <c r="D152" s="19"/>
      <c r="E152" s="19"/>
      <c r="F152" s="19"/>
      <c r="G152" s="19"/>
      <c r="H152" s="19"/>
      <c r="I152" s="22"/>
      <c r="J152" s="19"/>
      <c r="K152" s="19"/>
      <c r="L152" s="19"/>
      <c r="M152" s="23"/>
    </row>
    <row r="153">
      <c r="A153" s="19"/>
      <c r="B153" s="19"/>
      <c r="C153" s="19"/>
      <c r="D153" s="19"/>
      <c r="E153" s="19"/>
      <c r="F153" s="19"/>
      <c r="G153" s="19"/>
      <c r="H153" s="19"/>
      <c r="I153" s="22"/>
      <c r="J153" s="19"/>
      <c r="K153" s="19"/>
      <c r="L153" s="19"/>
      <c r="M153" s="23"/>
    </row>
    <row r="154">
      <c r="A154" s="19"/>
      <c r="B154" s="19"/>
      <c r="C154" s="19"/>
      <c r="D154" s="19"/>
      <c r="E154" s="19"/>
      <c r="F154" s="19"/>
      <c r="G154" s="19"/>
      <c r="H154" s="19"/>
      <c r="I154" s="22"/>
      <c r="J154" s="19"/>
      <c r="K154" s="19"/>
      <c r="L154" s="19"/>
      <c r="M154" s="23"/>
    </row>
    <row r="155">
      <c r="A155" s="19"/>
      <c r="B155" s="19"/>
      <c r="C155" s="19"/>
      <c r="D155" s="19"/>
      <c r="E155" s="19"/>
      <c r="F155" s="19"/>
      <c r="G155" s="19"/>
      <c r="H155" s="19"/>
      <c r="I155" s="22"/>
      <c r="J155" s="19"/>
      <c r="K155" s="19"/>
      <c r="L155" s="19"/>
      <c r="M155" s="23"/>
    </row>
    <row r="156">
      <c r="A156" s="19"/>
      <c r="B156" s="19"/>
      <c r="C156" s="19"/>
      <c r="D156" s="19"/>
      <c r="E156" s="19"/>
      <c r="F156" s="19"/>
      <c r="G156" s="19"/>
      <c r="H156" s="19"/>
      <c r="I156" s="22"/>
      <c r="J156" s="19"/>
      <c r="K156" s="19"/>
      <c r="L156" s="19"/>
      <c r="M156" s="23"/>
    </row>
    <row r="157">
      <c r="A157" s="19"/>
      <c r="B157" s="19"/>
      <c r="C157" s="19"/>
      <c r="D157" s="19"/>
      <c r="E157" s="19"/>
      <c r="F157" s="19"/>
      <c r="G157" s="19"/>
      <c r="H157" s="19"/>
      <c r="I157" s="22"/>
      <c r="J157" s="19"/>
      <c r="K157" s="19"/>
      <c r="L157" s="19"/>
      <c r="M157" s="23"/>
    </row>
    <row r="158">
      <c r="A158" s="19"/>
      <c r="B158" s="19"/>
      <c r="C158" s="19"/>
      <c r="D158" s="19"/>
      <c r="E158" s="19"/>
      <c r="F158" s="19"/>
      <c r="G158" s="19"/>
      <c r="H158" s="19"/>
      <c r="I158" s="22"/>
      <c r="J158" s="19"/>
      <c r="K158" s="19"/>
      <c r="L158" s="19"/>
      <c r="M158" s="23"/>
    </row>
    <row r="159">
      <c r="A159" s="19"/>
      <c r="B159" s="19"/>
      <c r="C159" s="19"/>
      <c r="D159" s="19"/>
      <c r="E159" s="19"/>
      <c r="F159" s="19"/>
      <c r="G159" s="19"/>
      <c r="H159" s="19"/>
      <c r="I159" s="22"/>
      <c r="J159" s="19"/>
      <c r="K159" s="19"/>
      <c r="L159" s="19"/>
      <c r="M159" s="23"/>
    </row>
    <row r="160">
      <c r="A160" s="19"/>
      <c r="B160" s="19"/>
      <c r="C160" s="19"/>
      <c r="D160" s="19"/>
      <c r="E160" s="19"/>
      <c r="F160" s="19"/>
      <c r="G160" s="19"/>
      <c r="H160" s="19"/>
      <c r="I160" s="22"/>
      <c r="J160" s="19"/>
      <c r="K160" s="19"/>
      <c r="L160" s="19"/>
      <c r="M160" s="23"/>
    </row>
    <row r="161">
      <c r="A161" s="19"/>
      <c r="B161" s="19"/>
      <c r="C161" s="19"/>
      <c r="D161" s="19"/>
      <c r="E161" s="19"/>
      <c r="F161" s="19"/>
      <c r="G161" s="19"/>
      <c r="H161" s="19"/>
      <c r="I161" s="22"/>
      <c r="J161" s="19"/>
      <c r="K161" s="19"/>
      <c r="L161" s="19"/>
      <c r="M161" s="23"/>
    </row>
    <row r="162">
      <c r="A162" s="19"/>
      <c r="B162" s="19"/>
      <c r="C162" s="19"/>
      <c r="D162" s="19"/>
      <c r="E162" s="19"/>
      <c r="F162" s="19"/>
      <c r="G162" s="19"/>
      <c r="H162" s="19"/>
      <c r="I162" s="22"/>
      <c r="J162" s="19"/>
      <c r="K162" s="19"/>
      <c r="L162" s="19"/>
      <c r="M162" s="23"/>
    </row>
    <row r="163">
      <c r="A163" s="19"/>
      <c r="B163" s="19"/>
      <c r="C163" s="19"/>
      <c r="D163" s="19"/>
      <c r="E163" s="19"/>
      <c r="F163" s="19"/>
      <c r="G163" s="19"/>
      <c r="H163" s="19"/>
      <c r="I163" s="22"/>
      <c r="J163" s="19"/>
      <c r="K163" s="19"/>
      <c r="L163" s="19"/>
      <c r="M163" s="23"/>
    </row>
    <row r="164">
      <c r="A164" s="19"/>
      <c r="B164" s="19"/>
      <c r="C164" s="19"/>
      <c r="D164" s="19"/>
      <c r="E164" s="19"/>
      <c r="F164" s="19"/>
      <c r="G164" s="19"/>
      <c r="H164" s="19"/>
      <c r="I164" s="22"/>
      <c r="J164" s="19"/>
      <c r="K164" s="19"/>
      <c r="L164" s="19"/>
      <c r="M164" s="23"/>
    </row>
    <row r="165">
      <c r="A165" s="19"/>
      <c r="B165" s="19"/>
      <c r="C165" s="19"/>
      <c r="D165" s="19"/>
      <c r="E165" s="19"/>
      <c r="F165" s="19"/>
      <c r="G165" s="19"/>
      <c r="H165" s="19"/>
      <c r="I165" s="22"/>
      <c r="J165" s="19"/>
      <c r="K165" s="19"/>
      <c r="L165" s="19"/>
      <c r="M165" s="23"/>
    </row>
    <row r="166">
      <c r="A166" s="19"/>
      <c r="B166" s="19"/>
      <c r="C166" s="19"/>
      <c r="D166" s="19"/>
      <c r="E166" s="19"/>
      <c r="F166" s="19"/>
      <c r="G166" s="19"/>
      <c r="H166" s="19"/>
      <c r="I166" s="22"/>
      <c r="J166" s="19"/>
      <c r="K166" s="19"/>
      <c r="L166" s="19"/>
      <c r="M166" s="23"/>
    </row>
    <row r="167">
      <c r="A167" s="19"/>
      <c r="B167" s="19"/>
      <c r="C167" s="19"/>
      <c r="D167" s="19"/>
      <c r="E167" s="19"/>
      <c r="F167" s="19"/>
      <c r="G167" s="19"/>
      <c r="H167" s="19"/>
      <c r="I167" s="22"/>
      <c r="J167" s="19"/>
      <c r="K167" s="19"/>
      <c r="L167" s="19"/>
      <c r="M167" s="23"/>
    </row>
    <row r="168">
      <c r="A168" s="19"/>
      <c r="B168" s="19"/>
      <c r="C168" s="19"/>
      <c r="D168" s="19"/>
      <c r="E168" s="19"/>
      <c r="F168" s="19"/>
      <c r="G168" s="19"/>
      <c r="H168" s="19"/>
      <c r="I168" s="22"/>
      <c r="J168" s="19"/>
      <c r="K168" s="19"/>
      <c r="L168" s="19"/>
      <c r="M168" s="23"/>
    </row>
    <row r="169">
      <c r="A169" s="19"/>
      <c r="B169" s="19"/>
      <c r="C169" s="19"/>
      <c r="D169" s="19"/>
      <c r="E169" s="19"/>
      <c r="F169" s="19"/>
      <c r="G169" s="19"/>
      <c r="H169" s="19"/>
      <c r="I169" s="22"/>
      <c r="J169" s="19"/>
      <c r="K169" s="19"/>
      <c r="L169" s="19"/>
      <c r="M169" s="23"/>
    </row>
    <row r="170">
      <c r="A170" s="19"/>
      <c r="B170" s="19"/>
      <c r="C170" s="19"/>
      <c r="D170" s="19"/>
      <c r="E170" s="19"/>
      <c r="F170" s="19"/>
      <c r="G170" s="19"/>
      <c r="H170" s="19"/>
      <c r="I170" s="22"/>
      <c r="J170" s="19"/>
      <c r="K170" s="19"/>
      <c r="L170" s="19"/>
      <c r="M170" s="23"/>
    </row>
    <row r="171">
      <c r="A171" s="19"/>
      <c r="B171" s="19"/>
      <c r="C171" s="19"/>
      <c r="D171" s="19"/>
      <c r="E171" s="19"/>
      <c r="F171" s="19"/>
      <c r="G171" s="19"/>
      <c r="H171" s="19"/>
      <c r="I171" s="22"/>
      <c r="J171" s="19"/>
      <c r="K171" s="19"/>
      <c r="L171" s="19"/>
      <c r="M171" s="23"/>
    </row>
    <row r="172">
      <c r="A172" s="19"/>
      <c r="B172" s="19"/>
      <c r="C172" s="19"/>
      <c r="D172" s="19"/>
      <c r="E172" s="19"/>
      <c r="F172" s="19"/>
      <c r="G172" s="19"/>
      <c r="H172" s="19"/>
      <c r="I172" s="22"/>
      <c r="J172" s="19"/>
      <c r="K172" s="19"/>
      <c r="L172" s="19"/>
      <c r="M172" s="23"/>
    </row>
    <row r="173">
      <c r="A173" s="19"/>
      <c r="B173" s="19"/>
      <c r="C173" s="19"/>
      <c r="D173" s="19"/>
      <c r="E173" s="19"/>
      <c r="F173" s="19"/>
      <c r="G173" s="19"/>
      <c r="H173" s="19"/>
      <c r="I173" s="22"/>
      <c r="J173" s="19"/>
      <c r="K173" s="19"/>
      <c r="L173" s="19"/>
      <c r="M173" s="23"/>
    </row>
    <row r="174">
      <c r="A174" s="19"/>
      <c r="B174" s="19"/>
      <c r="C174" s="19"/>
      <c r="D174" s="19"/>
      <c r="E174" s="19"/>
      <c r="F174" s="19"/>
      <c r="G174" s="19"/>
      <c r="H174" s="19"/>
      <c r="I174" s="22"/>
      <c r="J174" s="19"/>
      <c r="K174" s="19"/>
      <c r="L174" s="19"/>
      <c r="M174" s="23"/>
    </row>
    <row r="175">
      <c r="A175" s="19"/>
      <c r="B175" s="19"/>
      <c r="C175" s="19"/>
      <c r="D175" s="19"/>
      <c r="E175" s="19"/>
      <c r="F175" s="19"/>
      <c r="G175" s="19"/>
      <c r="H175" s="19"/>
      <c r="I175" s="22"/>
      <c r="J175" s="19"/>
      <c r="K175" s="19"/>
      <c r="L175" s="19"/>
      <c r="M175" s="23"/>
    </row>
    <row r="176">
      <c r="A176" s="19"/>
      <c r="B176" s="19"/>
      <c r="C176" s="19"/>
      <c r="D176" s="19"/>
      <c r="E176" s="19"/>
      <c r="F176" s="19"/>
      <c r="G176" s="19"/>
      <c r="H176" s="19"/>
      <c r="I176" s="22"/>
      <c r="J176" s="19"/>
      <c r="K176" s="19"/>
      <c r="L176" s="19"/>
      <c r="M176" s="23"/>
    </row>
    <row r="177">
      <c r="A177" s="19"/>
      <c r="B177" s="19"/>
      <c r="C177" s="19"/>
      <c r="D177" s="19"/>
      <c r="E177" s="19"/>
      <c r="F177" s="19"/>
      <c r="G177" s="19"/>
      <c r="H177" s="19"/>
      <c r="I177" s="22"/>
      <c r="J177" s="19"/>
      <c r="K177" s="19"/>
      <c r="L177" s="19"/>
      <c r="M177" s="23"/>
    </row>
    <row r="178">
      <c r="A178" s="19"/>
      <c r="B178" s="19"/>
      <c r="C178" s="19"/>
      <c r="D178" s="19"/>
      <c r="E178" s="19"/>
      <c r="F178" s="19"/>
      <c r="G178" s="19"/>
      <c r="H178" s="19"/>
      <c r="I178" s="22"/>
      <c r="J178" s="19"/>
      <c r="K178" s="19"/>
      <c r="L178" s="19"/>
      <c r="M178" s="23"/>
    </row>
    <row r="179">
      <c r="A179" s="19"/>
      <c r="B179" s="19"/>
      <c r="C179" s="19"/>
      <c r="D179" s="19"/>
      <c r="E179" s="19"/>
      <c r="F179" s="19"/>
      <c r="G179" s="19"/>
      <c r="H179" s="19"/>
      <c r="I179" s="22"/>
      <c r="J179" s="19"/>
      <c r="K179" s="19"/>
      <c r="L179" s="19"/>
      <c r="M179" s="23"/>
    </row>
    <row r="180">
      <c r="A180" s="19"/>
      <c r="B180" s="19"/>
      <c r="C180" s="19"/>
      <c r="D180" s="19"/>
      <c r="E180" s="19"/>
      <c r="F180" s="19"/>
      <c r="G180" s="19"/>
      <c r="H180" s="19"/>
      <c r="I180" s="22"/>
      <c r="J180" s="19"/>
      <c r="K180" s="19"/>
      <c r="L180" s="19"/>
      <c r="M180" s="23"/>
    </row>
    <row r="181">
      <c r="A181" s="19"/>
      <c r="B181" s="19"/>
      <c r="C181" s="19"/>
      <c r="D181" s="19"/>
      <c r="E181" s="19"/>
      <c r="F181" s="19"/>
      <c r="G181" s="19"/>
      <c r="H181" s="19"/>
      <c r="I181" s="22"/>
      <c r="J181" s="19"/>
      <c r="K181" s="19"/>
      <c r="L181" s="19"/>
      <c r="M181" s="23"/>
    </row>
    <row r="182">
      <c r="A182" s="19"/>
      <c r="B182" s="19"/>
      <c r="C182" s="19"/>
      <c r="D182" s="19"/>
      <c r="E182" s="19"/>
      <c r="F182" s="19"/>
      <c r="G182" s="19"/>
      <c r="H182" s="19"/>
      <c r="I182" s="22"/>
      <c r="J182" s="19"/>
      <c r="K182" s="19"/>
      <c r="L182" s="19"/>
      <c r="M182" s="23"/>
    </row>
    <row r="183">
      <c r="A183" s="19"/>
      <c r="B183" s="19"/>
      <c r="C183" s="19"/>
      <c r="D183" s="19"/>
      <c r="E183" s="19"/>
      <c r="F183" s="19"/>
      <c r="G183" s="19"/>
      <c r="H183" s="19"/>
      <c r="I183" s="22"/>
      <c r="J183" s="19"/>
      <c r="K183" s="19"/>
      <c r="L183" s="19"/>
      <c r="M183" s="23"/>
    </row>
    <row r="184">
      <c r="A184" s="19"/>
      <c r="B184" s="19"/>
      <c r="C184" s="19"/>
      <c r="D184" s="19"/>
      <c r="E184" s="19"/>
      <c r="F184" s="19"/>
      <c r="G184" s="19"/>
      <c r="H184" s="19"/>
      <c r="I184" s="22"/>
      <c r="J184" s="19"/>
      <c r="K184" s="19"/>
      <c r="L184" s="19"/>
      <c r="M184" s="23"/>
    </row>
    <row r="185">
      <c r="A185" s="19"/>
      <c r="B185" s="19"/>
      <c r="C185" s="19"/>
      <c r="D185" s="19"/>
      <c r="E185" s="19"/>
      <c r="F185" s="19"/>
      <c r="G185" s="19"/>
      <c r="H185" s="19"/>
      <c r="I185" s="22"/>
      <c r="J185" s="19"/>
      <c r="K185" s="19"/>
      <c r="L185" s="19"/>
      <c r="M185" s="23"/>
    </row>
    <row r="186">
      <c r="A186" s="19"/>
      <c r="B186" s="19"/>
      <c r="C186" s="19"/>
      <c r="D186" s="19"/>
      <c r="E186" s="19"/>
      <c r="F186" s="19"/>
      <c r="G186" s="19"/>
      <c r="H186" s="19"/>
      <c r="I186" s="22"/>
      <c r="J186" s="19"/>
      <c r="K186" s="19"/>
      <c r="L186" s="19"/>
      <c r="M186" s="23"/>
    </row>
    <row r="187">
      <c r="A187" s="19"/>
      <c r="B187" s="19"/>
      <c r="C187" s="19"/>
      <c r="D187" s="19"/>
      <c r="E187" s="19"/>
      <c r="F187" s="19"/>
      <c r="G187" s="19"/>
      <c r="H187" s="19"/>
      <c r="I187" s="22"/>
      <c r="J187" s="19"/>
      <c r="K187" s="19"/>
      <c r="L187" s="19"/>
      <c r="M187" s="23"/>
    </row>
    <row r="188">
      <c r="A188" s="19"/>
      <c r="B188" s="19"/>
      <c r="C188" s="19"/>
      <c r="D188" s="19"/>
      <c r="E188" s="19"/>
      <c r="F188" s="19"/>
      <c r="G188" s="19"/>
      <c r="H188" s="19"/>
      <c r="I188" s="22"/>
      <c r="J188" s="19"/>
      <c r="K188" s="19"/>
      <c r="L188" s="19"/>
      <c r="M188" s="23"/>
    </row>
    <row r="189">
      <c r="A189" s="19"/>
      <c r="B189" s="19"/>
      <c r="C189" s="19"/>
      <c r="D189" s="19"/>
      <c r="E189" s="19"/>
      <c r="F189" s="19"/>
      <c r="G189" s="19"/>
      <c r="H189" s="19"/>
      <c r="I189" s="22"/>
      <c r="J189" s="19"/>
      <c r="K189" s="19"/>
      <c r="L189" s="19"/>
      <c r="M189" s="23"/>
    </row>
    <row r="190">
      <c r="A190" s="19"/>
      <c r="B190" s="19"/>
      <c r="C190" s="19"/>
      <c r="D190" s="19"/>
      <c r="E190" s="19"/>
      <c r="F190" s="19"/>
      <c r="G190" s="19"/>
      <c r="H190" s="19"/>
      <c r="I190" s="22"/>
      <c r="J190" s="19"/>
      <c r="K190" s="19"/>
      <c r="L190" s="19"/>
      <c r="M190" s="23"/>
    </row>
    <row r="191">
      <c r="A191" s="19"/>
      <c r="B191" s="19"/>
      <c r="C191" s="19"/>
      <c r="D191" s="19"/>
      <c r="E191" s="19"/>
      <c r="F191" s="19"/>
      <c r="G191" s="19"/>
      <c r="H191" s="19"/>
      <c r="I191" s="22"/>
      <c r="J191" s="19"/>
      <c r="K191" s="19"/>
      <c r="L191" s="19"/>
      <c r="M191" s="23"/>
    </row>
    <row r="192">
      <c r="A192" s="19"/>
      <c r="B192" s="19"/>
      <c r="C192" s="19"/>
      <c r="D192" s="19"/>
      <c r="E192" s="19"/>
      <c r="F192" s="19"/>
      <c r="G192" s="19"/>
      <c r="H192" s="19"/>
      <c r="I192" s="22"/>
      <c r="J192" s="19"/>
      <c r="K192" s="19"/>
      <c r="L192" s="19"/>
      <c r="M192" s="23"/>
    </row>
    <row r="193">
      <c r="A193" s="19"/>
      <c r="B193" s="19"/>
      <c r="C193" s="19"/>
      <c r="D193" s="19"/>
      <c r="E193" s="19"/>
      <c r="F193" s="19"/>
      <c r="G193" s="19"/>
      <c r="H193" s="19"/>
      <c r="I193" s="22"/>
      <c r="J193" s="19"/>
      <c r="K193" s="19"/>
      <c r="L193" s="19"/>
      <c r="M193" s="23"/>
    </row>
    <row r="194">
      <c r="A194" s="19"/>
      <c r="B194" s="19"/>
      <c r="C194" s="19"/>
      <c r="D194" s="19"/>
      <c r="E194" s="19"/>
      <c r="F194" s="19"/>
      <c r="G194" s="19"/>
      <c r="H194" s="19"/>
      <c r="I194" s="22"/>
      <c r="J194" s="19"/>
      <c r="K194" s="19"/>
      <c r="L194" s="19"/>
      <c r="M194" s="23"/>
    </row>
    <row r="195">
      <c r="A195" s="19"/>
      <c r="B195" s="19"/>
      <c r="C195" s="19"/>
      <c r="D195" s="19"/>
      <c r="E195" s="19"/>
      <c r="F195" s="19"/>
      <c r="G195" s="19"/>
      <c r="H195" s="19"/>
      <c r="I195" s="22"/>
      <c r="J195" s="19"/>
      <c r="K195" s="19"/>
      <c r="L195" s="19"/>
      <c r="M195" s="23"/>
    </row>
    <row r="196">
      <c r="A196" s="19"/>
      <c r="B196" s="19"/>
      <c r="C196" s="19"/>
      <c r="D196" s="19"/>
      <c r="E196" s="19"/>
      <c r="F196" s="19"/>
      <c r="G196" s="19"/>
      <c r="H196" s="19"/>
      <c r="I196" s="22"/>
      <c r="J196" s="19"/>
      <c r="K196" s="19"/>
      <c r="L196" s="19"/>
      <c r="M196" s="23"/>
    </row>
    <row r="197">
      <c r="A197" s="19"/>
      <c r="B197" s="19"/>
      <c r="C197" s="19"/>
      <c r="D197" s="19"/>
      <c r="E197" s="19"/>
      <c r="F197" s="19"/>
      <c r="G197" s="19"/>
      <c r="H197" s="19"/>
      <c r="I197" s="22"/>
      <c r="J197" s="19"/>
      <c r="K197" s="19"/>
      <c r="L197" s="19"/>
      <c r="M197" s="23"/>
    </row>
    <row r="198">
      <c r="A198" s="19"/>
      <c r="B198" s="19"/>
      <c r="C198" s="19"/>
      <c r="D198" s="19"/>
      <c r="E198" s="19"/>
      <c r="F198" s="19"/>
      <c r="G198" s="19"/>
      <c r="H198" s="19"/>
      <c r="I198" s="22"/>
      <c r="J198" s="19"/>
      <c r="K198" s="19"/>
      <c r="L198" s="19"/>
      <c r="M198" s="23"/>
    </row>
    <row r="199">
      <c r="A199" s="19"/>
      <c r="B199" s="19"/>
      <c r="C199" s="19"/>
      <c r="D199" s="19"/>
      <c r="E199" s="19"/>
      <c r="F199" s="19"/>
      <c r="G199" s="19"/>
      <c r="H199" s="19"/>
      <c r="I199" s="22"/>
      <c r="J199" s="19"/>
      <c r="K199" s="19"/>
      <c r="L199" s="19"/>
      <c r="M199" s="23"/>
    </row>
    <row r="200">
      <c r="A200" s="19"/>
      <c r="B200" s="19"/>
      <c r="C200" s="19"/>
      <c r="D200" s="19"/>
      <c r="E200" s="19"/>
      <c r="F200" s="19"/>
      <c r="G200" s="19"/>
      <c r="H200" s="19"/>
      <c r="I200" s="22"/>
      <c r="J200" s="19"/>
      <c r="K200" s="19"/>
      <c r="L200" s="19"/>
      <c r="M200" s="23"/>
    </row>
    <row r="201">
      <c r="A201" s="19"/>
      <c r="B201" s="19"/>
      <c r="C201" s="19"/>
      <c r="D201" s="19"/>
      <c r="E201" s="19"/>
      <c r="F201" s="19"/>
      <c r="G201" s="19"/>
      <c r="H201" s="19"/>
      <c r="I201" s="22"/>
      <c r="J201" s="19"/>
      <c r="K201" s="19"/>
      <c r="L201" s="19"/>
      <c r="M201" s="23"/>
    </row>
    <row r="202">
      <c r="A202" s="19"/>
      <c r="B202" s="19"/>
      <c r="C202" s="19"/>
      <c r="D202" s="19"/>
      <c r="E202" s="19"/>
      <c r="F202" s="19"/>
      <c r="G202" s="19"/>
      <c r="H202" s="19"/>
      <c r="I202" s="22"/>
      <c r="J202" s="19"/>
      <c r="K202" s="19"/>
      <c r="L202" s="19"/>
      <c r="M202" s="23"/>
    </row>
    <row r="203">
      <c r="A203" s="19"/>
      <c r="B203" s="19"/>
      <c r="C203" s="19"/>
      <c r="D203" s="19"/>
      <c r="E203" s="19"/>
      <c r="F203" s="19"/>
      <c r="G203" s="19"/>
      <c r="H203" s="19"/>
      <c r="I203" s="22"/>
      <c r="J203" s="19"/>
      <c r="K203" s="19"/>
      <c r="L203" s="19"/>
      <c r="M203" s="23"/>
    </row>
    <row r="204">
      <c r="A204" s="19"/>
      <c r="B204" s="19"/>
      <c r="C204" s="19"/>
      <c r="D204" s="19"/>
      <c r="E204" s="19"/>
      <c r="F204" s="19"/>
      <c r="G204" s="19"/>
      <c r="H204" s="19"/>
      <c r="I204" s="22"/>
      <c r="J204" s="19"/>
      <c r="K204" s="19"/>
      <c r="L204" s="19"/>
      <c r="M204" s="23"/>
    </row>
    <row r="205">
      <c r="A205" s="19"/>
      <c r="B205" s="19"/>
      <c r="C205" s="19"/>
      <c r="D205" s="19"/>
      <c r="E205" s="19"/>
      <c r="F205" s="19"/>
      <c r="G205" s="19"/>
      <c r="H205" s="19"/>
      <c r="I205" s="22"/>
      <c r="J205" s="19"/>
      <c r="K205" s="19"/>
      <c r="L205" s="19"/>
      <c r="M205" s="23"/>
    </row>
    <row r="206">
      <c r="A206" s="19"/>
      <c r="B206" s="19"/>
      <c r="C206" s="19"/>
      <c r="D206" s="19"/>
      <c r="E206" s="19"/>
      <c r="F206" s="19"/>
      <c r="G206" s="19"/>
      <c r="H206" s="19"/>
      <c r="I206" s="22"/>
      <c r="J206" s="19"/>
      <c r="K206" s="19"/>
      <c r="L206" s="19"/>
      <c r="M206" s="23"/>
    </row>
    <row r="207">
      <c r="A207" s="19"/>
      <c r="B207" s="19"/>
      <c r="C207" s="19"/>
      <c r="D207" s="19"/>
      <c r="E207" s="19"/>
      <c r="F207" s="19"/>
      <c r="G207" s="19"/>
      <c r="H207" s="19"/>
      <c r="I207" s="22"/>
      <c r="J207" s="19"/>
      <c r="K207" s="19"/>
      <c r="L207" s="19"/>
      <c r="M207" s="23"/>
    </row>
    <row r="208">
      <c r="A208" s="19"/>
      <c r="B208" s="19"/>
      <c r="C208" s="19"/>
      <c r="D208" s="19"/>
      <c r="E208" s="19"/>
      <c r="F208" s="19"/>
      <c r="G208" s="19"/>
      <c r="H208" s="19"/>
      <c r="I208" s="22"/>
      <c r="J208" s="19"/>
      <c r="K208" s="19"/>
      <c r="L208" s="19"/>
      <c r="M208" s="23"/>
    </row>
    <row r="209">
      <c r="A209" s="19"/>
      <c r="B209" s="19"/>
      <c r="C209" s="19"/>
      <c r="D209" s="19"/>
      <c r="E209" s="19"/>
      <c r="F209" s="19"/>
      <c r="G209" s="19"/>
      <c r="H209" s="19"/>
      <c r="I209" s="22"/>
      <c r="J209" s="19"/>
      <c r="K209" s="19"/>
      <c r="L209" s="19"/>
      <c r="M209" s="23"/>
    </row>
    <row r="210">
      <c r="A210" s="19"/>
      <c r="B210" s="19"/>
      <c r="C210" s="19"/>
      <c r="D210" s="19"/>
      <c r="E210" s="19"/>
      <c r="F210" s="19"/>
      <c r="G210" s="19"/>
      <c r="H210" s="19"/>
      <c r="I210" s="22"/>
      <c r="J210" s="19"/>
      <c r="K210" s="19"/>
      <c r="L210" s="19"/>
      <c r="M210" s="23"/>
    </row>
    <row r="211">
      <c r="A211" s="19"/>
      <c r="B211" s="19"/>
      <c r="C211" s="19"/>
      <c r="D211" s="19"/>
      <c r="E211" s="19"/>
      <c r="F211" s="19"/>
      <c r="G211" s="19"/>
      <c r="H211" s="19"/>
      <c r="I211" s="22"/>
      <c r="J211" s="19"/>
      <c r="K211" s="19"/>
      <c r="L211" s="19"/>
      <c r="M211" s="23"/>
    </row>
    <row r="212">
      <c r="A212" s="19"/>
      <c r="B212" s="19"/>
      <c r="C212" s="19"/>
      <c r="D212" s="19"/>
      <c r="E212" s="19"/>
      <c r="F212" s="19"/>
      <c r="G212" s="19"/>
      <c r="H212" s="19"/>
      <c r="I212" s="22"/>
      <c r="J212" s="19"/>
      <c r="K212" s="19"/>
      <c r="L212" s="19"/>
      <c r="M212" s="23"/>
    </row>
    <row r="213">
      <c r="A213" s="19"/>
      <c r="B213" s="19"/>
      <c r="C213" s="19"/>
      <c r="D213" s="19"/>
      <c r="E213" s="19"/>
      <c r="F213" s="19"/>
      <c r="G213" s="19"/>
      <c r="H213" s="19"/>
      <c r="I213" s="22"/>
      <c r="J213" s="19"/>
      <c r="K213" s="19"/>
      <c r="L213" s="19"/>
      <c r="M213" s="23"/>
    </row>
    <row r="214">
      <c r="A214" s="19"/>
      <c r="B214" s="19"/>
      <c r="C214" s="19"/>
      <c r="D214" s="19"/>
      <c r="E214" s="19"/>
      <c r="F214" s="19"/>
      <c r="G214" s="19"/>
      <c r="H214" s="19"/>
      <c r="I214" s="22"/>
      <c r="J214" s="19"/>
      <c r="K214" s="19"/>
      <c r="L214" s="19"/>
      <c r="M214" s="23"/>
    </row>
    <row r="215">
      <c r="A215" s="19"/>
      <c r="B215" s="19"/>
      <c r="C215" s="19"/>
      <c r="D215" s="19"/>
      <c r="E215" s="19"/>
      <c r="F215" s="19"/>
      <c r="G215" s="19"/>
      <c r="H215" s="19"/>
      <c r="I215" s="22"/>
      <c r="J215" s="19"/>
      <c r="K215" s="19"/>
      <c r="L215" s="19"/>
      <c r="M215" s="23"/>
    </row>
    <row r="216">
      <c r="A216" s="19"/>
      <c r="B216" s="19"/>
      <c r="C216" s="19"/>
      <c r="D216" s="19"/>
      <c r="E216" s="19"/>
      <c r="F216" s="19"/>
      <c r="G216" s="19"/>
      <c r="H216" s="19"/>
      <c r="I216" s="22"/>
      <c r="J216" s="19"/>
      <c r="K216" s="19"/>
      <c r="L216" s="19"/>
      <c r="M216" s="23"/>
    </row>
    <row r="217">
      <c r="A217" s="19"/>
      <c r="B217" s="19"/>
      <c r="C217" s="19"/>
      <c r="D217" s="19"/>
      <c r="E217" s="19"/>
      <c r="F217" s="19"/>
      <c r="G217" s="19"/>
      <c r="H217" s="19"/>
      <c r="I217" s="22"/>
      <c r="J217" s="19"/>
      <c r="K217" s="19"/>
      <c r="L217" s="19"/>
      <c r="M217" s="23"/>
    </row>
    <row r="218">
      <c r="A218" s="19"/>
      <c r="B218" s="19"/>
      <c r="C218" s="19"/>
      <c r="D218" s="19"/>
      <c r="E218" s="19"/>
      <c r="F218" s="19"/>
      <c r="G218" s="19"/>
      <c r="H218" s="19"/>
      <c r="I218" s="22"/>
      <c r="J218" s="19"/>
      <c r="K218" s="19"/>
      <c r="L218" s="19"/>
      <c r="M218" s="23"/>
    </row>
    <row r="219">
      <c r="A219" s="19"/>
      <c r="B219" s="19"/>
      <c r="C219" s="19"/>
      <c r="D219" s="19"/>
      <c r="E219" s="19"/>
      <c r="F219" s="19"/>
      <c r="G219" s="19"/>
      <c r="H219" s="19"/>
      <c r="I219" s="22"/>
      <c r="J219" s="19"/>
      <c r="K219" s="19"/>
      <c r="L219" s="19"/>
      <c r="M219" s="23"/>
    </row>
    <row r="220">
      <c r="A220" s="19"/>
      <c r="B220" s="19"/>
      <c r="C220" s="19"/>
      <c r="D220" s="19"/>
      <c r="E220" s="19"/>
      <c r="F220" s="19"/>
      <c r="G220" s="19"/>
      <c r="H220" s="19"/>
      <c r="I220" s="22"/>
      <c r="J220" s="19"/>
      <c r="K220" s="19"/>
      <c r="L220" s="19"/>
      <c r="M220" s="23"/>
    </row>
    <row r="221">
      <c r="A221" s="19"/>
      <c r="B221" s="19"/>
      <c r="C221" s="19"/>
      <c r="D221" s="19"/>
      <c r="E221" s="19"/>
      <c r="F221" s="19"/>
      <c r="G221" s="19"/>
      <c r="H221" s="19"/>
      <c r="I221" s="22"/>
      <c r="J221" s="19"/>
      <c r="K221" s="19"/>
      <c r="L221" s="19"/>
      <c r="M221" s="23"/>
    </row>
    <row r="222">
      <c r="A222" s="19"/>
      <c r="B222" s="19"/>
      <c r="C222" s="19"/>
      <c r="D222" s="19"/>
      <c r="E222" s="19"/>
      <c r="F222" s="19"/>
      <c r="G222" s="19"/>
      <c r="H222" s="19"/>
      <c r="I222" s="22"/>
      <c r="J222" s="19"/>
      <c r="K222" s="19"/>
      <c r="L222" s="19"/>
      <c r="M222" s="23"/>
    </row>
    <row r="223">
      <c r="A223" s="19"/>
      <c r="B223" s="19"/>
      <c r="C223" s="19"/>
      <c r="D223" s="19"/>
      <c r="E223" s="19"/>
      <c r="F223" s="19"/>
      <c r="G223" s="19"/>
      <c r="H223" s="19"/>
      <c r="I223" s="22"/>
      <c r="J223" s="19"/>
      <c r="K223" s="19"/>
      <c r="L223" s="19"/>
      <c r="M223" s="23"/>
    </row>
    <row r="224">
      <c r="A224" s="19"/>
      <c r="B224" s="19"/>
      <c r="C224" s="19"/>
      <c r="D224" s="19"/>
      <c r="E224" s="19"/>
      <c r="F224" s="19"/>
      <c r="G224" s="19"/>
      <c r="H224" s="19"/>
      <c r="I224" s="22"/>
      <c r="J224" s="19"/>
      <c r="K224" s="19"/>
      <c r="L224" s="19"/>
      <c r="M224" s="23"/>
    </row>
    <row r="225">
      <c r="A225" s="19"/>
      <c r="B225" s="19"/>
      <c r="C225" s="19"/>
      <c r="D225" s="19"/>
      <c r="E225" s="19"/>
      <c r="F225" s="19"/>
      <c r="G225" s="19"/>
      <c r="H225" s="19"/>
      <c r="I225" s="22"/>
      <c r="J225" s="19"/>
      <c r="K225" s="19"/>
      <c r="L225" s="19"/>
      <c r="M225" s="23"/>
    </row>
    <row r="226">
      <c r="A226" s="19"/>
      <c r="B226" s="19"/>
      <c r="C226" s="19"/>
      <c r="D226" s="19"/>
      <c r="E226" s="19"/>
      <c r="F226" s="19"/>
      <c r="G226" s="19"/>
      <c r="H226" s="19"/>
      <c r="I226" s="22"/>
      <c r="J226" s="19"/>
      <c r="K226" s="19"/>
      <c r="L226" s="19"/>
      <c r="M226" s="23"/>
    </row>
    <row r="227">
      <c r="A227" s="19"/>
      <c r="B227" s="19"/>
      <c r="C227" s="19"/>
      <c r="D227" s="19"/>
      <c r="E227" s="19"/>
      <c r="F227" s="19"/>
      <c r="G227" s="19"/>
      <c r="H227" s="19"/>
      <c r="I227" s="22"/>
      <c r="J227" s="19"/>
      <c r="K227" s="19"/>
      <c r="L227" s="19"/>
      <c r="M227" s="23"/>
    </row>
    <row r="228">
      <c r="A228" s="19"/>
      <c r="B228" s="19"/>
      <c r="C228" s="19"/>
      <c r="D228" s="19"/>
      <c r="E228" s="19"/>
      <c r="F228" s="19"/>
      <c r="G228" s="19"/>
      <c r="H228" s="19"/>
      <c r="I228" s="22"/>
      <c r="J228" s="19"/>
      <c r="K228" s="19"/>
      <c r="L228" s="19"/>
      <c r="M228" s="23"/>
    </row>
    <row r="229">
      <c r="A229" s="19"/>
      <c r="B229" s="19"/>
      <c r="C229" s="19"/>
      <c r="D229" s="19"/>
      <c r="E229" s="19"/>
      <c r="F229" s="19"/>
      <c r="G229" s="19"/>
      <c r="H229" s="19"/>
      <c r="I229" s="22"/>
      <c r="J229" s="19"/>
      <c r="K229" s="19"/>
      <c r="L229" s="19"/>
      <c r="M229" s="23"/>
    </row>
    <row r="230">
      <c r="A230" s="19"/>
      <c r="B230" s="19"/>
      <c r="C230" s="19"/>
      <c r="D230" s="19"/>
      <c r="E230" s="19"/>
      <c r="F230" s="19"/>
      <c r="G230" s="19"/>
      <c r="H230" s="19"/>
      <c r="I230" s="22"/>
      <c r="J230" s="19"/>
      <c r="K230" s="19"/>
      <c r="L230" s="19"/>
      <c r="M230" s="23"/>
    </row>
    <row r="231">
      <c r="A231" s="19"/>
      <c r="B231" s="19"/>
      <c r="C231" s="19"/>
      <c r="D231" s="19"/>
      <c r="E231" s="19"/>
      <c r="F231" s="19"/>
      <c r="G231" s="19"/>
      <c r="H231" s="19"/>
      <c r="I231" s="22"/>
      <c r="J231" s="19"/>
      <c r="K231" s="19"/>
      <c r="L231" s="19"/>
      <c r="M231" s="23"/>
    </row>
    <row r="232">
      <c r="A232" s="19"/>
      <c r="B232" s="19"/>
      <c r="C232" s="19"/>
      <c r="D232" s="19"/>
      <c r="E232" s="19"/>
      <c r="F232" s="19"/>
      <c r="G232" s="19"/>
      <c r="H232" s="19"/>
      <c r="I232" s="22"/>
      <c r="J232" s="19"/>
      <c r="K232" s="19"/>
      <c r="L232" s="19"/>
      <c r="M232" s="23"/>
    </row>
    <row r="233">
      <c r="A233" s="19"/>
      <c r="B233" s="19"/>
      <c r="C233" s="19"/>
      <c r="D233" s="19"/>
      <c r="E233" s="19"/>
      <c r="F233" s="19"/>
      <c r="G233" s="19"/>
      <c r="H233" s="19"/>
      <c r="I233" s="22"/>
      <c r="J233" s="19"/>
      <c r="K233" s="19"/>
      <c r="L233" s="19"/>
      <c r="M233" s="23"/>
    </row>
    <row r="234">
      <c r="A234" s="19"/>
      <c r="B234" s="19"/>
      <c r="C234" s="19"/>
      <c r="D234" s="19"/>
      <c r="E234" s="19"/>
      <c r="F234" s="19"/>
      <c r="G234" s="19"/>
      <c r="H234" s="19"/>
      <c r="I234" s="22"/>
      <c r="J234" s="19"/>
      <c r="K234" s="19"/>
      <c r="L234" s="19"/>
      <c r="M234" s="23"/>
    </row>
    <row r="235">
      <c r="A235" s="19"/>
      <c r="B235" s="19"/>
      <c r="C235" s="19"/>
      <c r="D235" s="19"/>
      <c r="E235" s="19"/>
      <c r="F235" s="19"/>
      <c r="G235" s="19"/>
      <c r="H235" s="19"/>
      <c r="I235" s="22"/>
      <c r="J235" s="19"/>
      <c r="K235" s="19"/>
      <c r="L235" s="19"/>
      <c r="M235" s="23"/>
    </row>
    <row r="236">
      <c r="A236" s="19"/>
      <c r="B236" s="19"/>
      <c r="C236" s="19"/>
      <c r="D236" s="19"/>
      <c r="E236" s="19"/>
      <c r="F236" s="19"/>
      <c r="G236" s="19"/>
      <c r="H236" s="19"/>
      <c r="I236" s="22"/>
      <c r="J236" s="19"/>
      <c r="K236" s="19"/>
      <c r="L236" s="19"/>
      <c r="M236" s="23"/>
    </row>
    <row r="237">
      <c r="A237" s="19"/>
      <c r="B237" s="19"/>
      <c r="C237" s="19"/>
      <c r="D237" s="19"/>
      <c r="E237" s="19"/>
      <c r="F237" s="19"/>
      <c r="G237" s="19"/>
      <c r="H237" s="19"/>
      <c r="I237" s="22"/>
      <c r="J237" s="19"/>
      <c r="K237" s="19"/>
      <c r="L237" s="19"/>
      <c r="M237" s="23"/>
    </row>
    <row r="238">
      <c r="A238" s="19"/>
      <c r="B238" s="19"/>
      <c r="C238" s="19"/>
      <c r="D238" s="19"/>
      <c r="E238" s="19"/>
      <c r="F238" s="19"/>
      <c r="G238" s="19"/>
      <c r="H238" s="19"/>
      <c r="I238" s="22"/>
      <c r="J238" s="19"/>
      <c r="K238" s="19"/>
      <c r="L238" s="19"/>
      <c r="M238" s="23"/>
    </row>
    <row r="239">
      <c r="A239" s="19"/>
      <c r="B239" s="19"/>
      <c r="C239" s="19"/>
      <c r="D239" s="19"/>
      <c r="E239" s="19"/>
      <c r="F239" s="19"/>
      <c r="G239" s="19"/>
      <c r="H239" s="19"/>
      <c r="I239" s="22"/>
      <c r="J239" s="19"/>
      <c r="K239" s="19"/>
      <c r="L239" s="19"/>
      <c r="M239" s="23"/>
    </row>
    <row r="240">
      <c r="A240" s="19"/>
      <c r="B240" s="19"/>
      <c r="C240" s="19"/>
      <c r="D240" s="19"/>
      <c r="E240" s="19"/>
      <c r="F240" s="19"/>
      <c r="G240" s="19"/>
      <c r="H240" s="19"/>
      <c r="I240" s="22"/>
      <c r="J240" s="19"/>
      <c r="K240" s="19"/>
      <c r="L240" s="19"/>
      <c r="M240" s="23"/>
    </row>
    <row r="241">
      <c r="A241" s="19"/>
      <c r="B241" s="19"/>
      <c r="C241" s="19"/>
      <c r="D241" s="19"/>
      <c r="E241" s="19"/>
      <c r="F241" s="19"/>
      <c r="G241" s="19"/>
      <c r="H241" s="19"/>
      <c r="I241" s="22"/>
      <c r="J241" s="19"/>
      <c r="K241" s="19"/>
      <c r="L241" s="19"/>
      <c r="M241" s="23"/>
    </row>
    <row r="242">
      <c r="A242" s="19"/>
      <c r="B242" s="19"/>
      <c r="C242" s="19"/>
      <c r="D242" s="19"/>
      <c r="E242" s="19"/>
      <c r="F242" s="19"/>
      <c r="G242" s="19"/>
      <c r="H242" s="19"/>
      <c r="I242" s="22"/>
      <c r="J242" s="19"/>
      <c r="K242" s="19"/>
      <c r="L242" s="19"/>
      <c r="M242" s="23"/>
    </row>
    <row r="243">
      <c r="A243" s="19"/>
      <c r="B243" s="19"/>
      <c r="C243" s="19"/>
      <c r="D243" s="19"/>
      <c r="E243" s="19"/>
      <c r="F243" s="19"/>
      <c r="G243" s="19"/>
      <c r="H243" s="19"/>
      <c r="I243" s="22"/>
      <c r="J243" s="19"/>
      <c r="K243" s="19"/>
      <c r="L243" s="19"/>
      <c r="M243" s="23"/>
    </row>
    <row r="244">
      <c r="A244" s="19"/>
      <c r="B244" s="19"/>
      <c r="C244" s="19"/>
      <c r="D244" s="19"/>
      <c r="E244" s="19"/>
      <c r="F244" s="19"/>
      <c r="G244" s="19"/>
      <c r="H244" s="19"/>
      <c r="I244" s="22"/>
      <c r="J244" s="19"/>
      <c r="K244" s="19"/>
      <c r="L244" s="19"/>
      <c r="M244" s="23"/>
    </row>
    <row r="245">
      <c r="A245" s="19"/>
      <c r="B245" s="19"/>
      <c r="C245" s="19"/>
      <c r="D245" s="19"/>
      <c r="E245" s="19"/>
      <c r="F245" s="19"/>
      <c r="G245" s="19"/>
      <c r="H245" s="19"/>
      <c r="I245" s="22"/>
      <c r="J245" s="19"/>
      <c r="K245" s="19"/>
      <c r="L245" s="19"/>
      <c r="M245" s="23"/>
    </row>
    <row r="246">
      <c r="A246" s="19"/>
      <c r="B246" s="19"/>
      <c r="C246" s="19"/>
      <c r="D246" s="19"/>
      <c r="E246" s="19"/>
      <c r="F246" s="19"/>
      <c r="G246" s="19"/>
      <c r="H246" s="19"/>
      <c r="I246" s="22"/>
      <c r="J246" s="19"/>
      <c r="K246" s="19"/>
      <c r="L246" s="19"/>
      <c r="M246" s="23"/>
    </row>
    <row r="247">
      <c r="A247" s="19"/>
      <c r="B247" s="19"/>
      <c r="C247" s="19"/>
      <c r="D247" s="19"/>
      <c r="E247" s="19"/>
      <c r="F247" s="19"/>
      <c r="G247" s="19"/>
      <c r="H247" s="19"/>
      <c r="I247" s="22"/>
      <c r="J247" s="19"/>
      <c r="K247" s="19"/>
      <c r="L247" s="19"/>
      <c r="M247" s="23"/>
    </row>
    <row r="248">
      <c r="A248" s="19"/>
      <c r="B248" s="19"/>
      <c r="C248" s="19"/>
      <c r="D248" s="19"/>
      <c r="E248" s="19"/>
      <c r="F248" s="19"/>
      <c r="G248" s="19"/>
      <c r="H248" s="19"/>
      <c r="I248" s="22"/>
      <c r="J248" s="19"/>
      <c r="K248" s="19"/>
      <c r="L248" s="19"/>
      <c r="M248" s="23"/>
    </row>
    <row r="249">
      <c r="A249" s="19"/>
      <c r="B249" s="19"/>
      <c r="C249" s="19"/>
      <c r="D249" s="19"/>
      <c r="E249" s="19"/>
      <c r="F249" s="19"/>
      <c r="G249" s="19"/>
      <c r="H249" s="19"/>
      <c r="I249" s="22"/>
      <c r="J249" s="19"/>
      <c r="K249" s="19"/>
      <c r="L249" s="19"/>
      <c r="M249" s="23"/>
    </row>
    <row r="250">
      <c r="A250" s="19"/>
      <c r="B250" s="19"/>
      <c r="C250" s="19"/>
      <c r="D250" s="19"/>
      <c r="E250" s="19"/>
      <c r="F250" s="19"/>
      <c r="G250" s="19"/>
      <c r="H250" s="19"/>
      <c r="I250" s="22"/>
      <c r="J250" s="19"/>
      <c r="K250" s="19"/>
      <c r="L250" s="19"/>
      <c r="M250" s="23"/>
    </row>
    <row r="251">
      <c r="A251" s="19"/>
      <c r="B251" s="19"/>
      <c r="C251" s="19"/>
      <c r="D251" s="19"/>
      <c r="E251" s="19"/>
      <c r="F251" s="19"/>
      <c r="G251" s="19"/>
      <c r="H251" s="19"/>
      <c r="I251" s="22"/>
      <c r="J251" s="19"/>
      <c r="K251" s="19"/>
      <c r="L251" s="19"/>
      <c r="M251" s="23"/>
    </row>
    <row r="252">
      <c r="A252" s="19"/>
      <c r="B252" s="19"/>
      <c r="C252" s="19"/>
      <c r="D252" s="19"/>
      <c r="E252" s="19"/>
      <c r="F252" s="19"/>
      <c r="G252" s="19"/>
      <c r="H252" s="19"/>
      <c r="I252" s="22"/>
      <c r="J252" s="19"/>
      <c r="K252" s="19"/>
      <c r="L252" s="19"/>
      <c r="M252" s="23"/>
    </row>
    <row r="253">
      <c r="A253" s="19"/>
      <c r="B253" s="19"/>
      <c r="C253" s="19"/>
      <c r="D253" s="19"/>
      <c r="E253" s="19"/>
      <c r="F253" s="19"/>
      <c r="G253" s="19"/>
      <c r="H253" s="19"/>
      <c r="I253" s="22"/>
      <c r="J253" s="19"/>
      <c r="K253" s="19"/>
      <c r="L253" s="19"/>
      <c r="M253" s="23"/>
    </row>
    <row r="254">
      <c r="A254" s="19"/>
      <c r="B254" s="19"/>
      <c r="C254" s="19"/>
      <c r="D254" s="19"/>
      <c r="E254" s="19"/>
      <c r="F254" s="19"/>
      <c r="G254" s="19"/>
      <c r="H254" s="19"/>
      <c r="I254" s="22"/>
      <c r="J254" s="19"/>
      <c r="K254" s="19"/>
      <c r="L254" s="19"/>
      <c r="M254" s="23"/>
    </row>
    <row r="255">
      <c r="A255" s="19"/>
      <c r="B255" s="19"/>
      <c r="C255" s="19"/>
      <c r="D255" s="19"/>
      <c r="E255" s="19"/>
      <c r="F255" s="19"/>
      <c r="G255" s="19"/>
      <c r="H255" s="19"/>
      <c r="I255" s="22"/>
      <c r="J255" s="19"/>
      <c r="K255" s="19"/>
      <c r="L255" s="19"/>
      <c r="M255" s="23"/>
    </row>
    <row r="256">
      <c r="A256" s="19"/>
      <c r="B256" s="19"/>
      <c r="C256" s="19"/>
      <c r="D256" s="19"/>
      <c r="E256" s="19"/>
      <c r="F256" s="19"/>
      <c r="G256" s="19"/>
      <c r="H256" s="19"/>
      <c r="I256" s="22"/>
      <c r="J256" s="19"/>
      <c r="K256" s="19"/>
      <c r="L256" s="19"/>
      <c r="M256" s="23"/>
    </row>
    <row r="257">
      <c r="A257" s="19"/>
      <c r="B257" s="19"/>
      <c r="C257" s="19"/>
      <c r="D257" s="19"/>
      <c r="E257" s="19"/>
      <c r="F257" s="19"/>
      <c r="G257" s="19"/>
      <c r="H257" s="19"/>
      <c r="I257" s="22"/>
      <c r="J257" s="19"/>
      <c r="K257" s="19"/>
      <c r="L257" s="19"/>
      <c r="M257" s="23"/>
    </row>
    <row r="258">
      <c r="A258" s="19"/>
      <c r="B258" s="19"/>
      <c r="C258" s="19"/>
      <c r="D258" s="19"/>
      <c r="E258" s="19"/>
      <c r="F258" s="19"/>
      <c r="G258" s="19"/>
      <c r="H258" s="19"/>
      <c r="I258" s="22"/>
      <c r="J258" s="19"/>
      <c r="K258" s="19"/>
      <c r="L258" s="19"/>
      <c r="M258" s="23"/>
    </row>
    <row r="259">
      <c r="A259" s="19"/>
      <c r="B259" s="19"/>
      <c r="C259" s="19"/>
      <c r="D259" s="19"/>
      <c r="E259" s="19"/>
      <c r="F259" s="19"/>
      <c r="G259" s="19"/>
      <c r="H259" s="19"/>
      <c r="I259" s="22"/>
      <c r="J259" s="19"/>
      <c r="K259" s="19"/>
      <c r="L259" s="19"/>
      <c r="M259" s="23"/>
    </row>
    <row r="260">
      <c r="A260" s="19"/>
      <c r="B260" s="19"/>
      <c r="C260" s="19"/>
      <c r="D260" s="19"/>
      <c r="E260" s="19"/>
      <c r="F260" s="19"/>
      <c r="G260" s="19"/>
      <c r="H260" s="19"/>
      <c r="I260" s="22"/>
      <c r="J260" s="19"/>
      <c r="K260" s="19"/>
      <c r="L260" s="19"/>
      <c r="M260" s="23"/>
    </row>
    <row r="261">
      <c r="A261" s="19"/>
      <c r="B261" s="19"/>
      <c r="C261" s="19"/>
      <c r="D261" s="19"/>
      <c r="E261" s="19"/>
      <c r="F261" s="19"/>
      <c r="G261" s="19"/>
      <c r="H261" s="19"/>
      <c r="I261" s="22"/>
      <c r="J261" s="19"/>
      <c r="K261" s="19"/>
      <c r="L261" s="19"/>
      <c r="M261" s="23"/>
    </row>
    <row r="262">
      <c r="A262" s="19"/>
      <c r="B262" s="19"/>
      <c r="C262" s="19"/>
      <c r="D262" s="19"/>
      <c r="E262" s="19"/>
      <c r="F262" s="19"/>
      <c r="G262" s="19"/>
      <c r="H262" s="19"/>
      <c r="I262" s="22"/>
      <c r="J262" s="19"/>
      <c r="K262" s="19"/>
      <c r="L262" s="19"/>
      <c r="M262" s="23"/>
    </row>
    <row r="263">
      <c r="A263" s="19"/>
      <c r="B263" s="19"/>
      <c r="C263" s="19"/>
      <c r="D263" s="19"/>
      <c r="E263" s="19"/>
      <c r="F263" s="19"/>
      <c r="G263" s="19"/>
      <c r="H263" s="19"/>
      <c r="I263" s="22"/>
      <c r="J263" s="19"/>
      <c r="K263" s="19"/>
      <c r="L263" s="19"/>
      <c r="M263" s="23"/>
    </row>
    <row r="264">
      <c r="A264" s="19"/>
      <c r="B264" s="19"/>
      <c r="C264" s="19"/>
      <c r="D264" s="19"/>
      <c r="E264" s="19"/>
      <c r="F264" s="19"/>
      <c r="G264" s="19"/>
      <c r="H264" s="19"/>
      <c r="I264" s="22"/>
      <c r="J264" s="19"/>
      <c r="K264" s="19"/>
      <c r="L264" s="19"/>
      <c r="M264" s="23"/>
    </row>
    <row r="265">
      <c r="A265" s="19"/>
      <c r="B265" s="19"/>
      <c r="C265" s="19"/>
      <c r="D265" s="19"/>
      <c r="E265" s="19"/>
      <c r="F265" s="19"/>
      <c r="G265" s="19"/>
      <c r="H265" s="19"/>
      <c r="I265" s="22"/>
      <c r="J265" s="19"/>
      <c r="K265" s="19"/>
      <c r="L265" s="19"/>
      <c r="M265" s="23"/>
    </row>
    <row r="266">
      <c r="A266" s="19"/>
      <c r="B266" s="19"/>
      <c r="C266" s="19"/>
      <c r="D266" s="19"/>
      <c r="E266" s="19"/>
      <c r="F266" s="19"/>
      <c r="G266" s="19"/>
      <c r="H266" s="19"/>
      <c r="I266" s="22"/>
      <c r="J266" s="19"/>
      <c r="K266" s="19"/>
      <c r="L266" s="19"/>
      <c r="M266" s="23"/>
    </row>
    <row r="267">
      <c r="A267" s="19"/>
      <c r="B267" s="19"/>
      <c r="C267" s="19"/>
      <c r="D267" s="19"/>
      <c r="E267" s="19"/>
      <c r="F267" s="19"/>
      <c r="G267" s="19"/>
      <c r="H267" s="19"/>
      <c r="I267" s="22"/>
      <c r="J267" s="19"/>
      <c r="K267" s="19"/>
      <c r="L267" s="19"/>
      <c r="M267" s="23"/>
    </row>
    <row r="268">
      <c r="A268" s="19"/>
      <c r="B268" s="19"/>
      <c r="C268" s="19"/>
      <c r="D268" s="19"/>
      <c r="E268" s="19"/>
      <c r="F268" s="19"/>
      <c r="G268" s="19"/>
      <c r="H268" s="19"/>
      <c r="I268" s="22"/>
      <c r="J268" s="19"/>
      <c r="K268" s="19"/>
      <c r="L268" s="19"/>
      <c r="M268" s="23"/>
    </row>
    <row r="269">
      <c r="A269" s="19"/>
      <c r="B269" s="19"/>
      <c r="C269" s="19"/>
      <c r="D269" s="19"/>
      <c r="E269" s="19"/>
      <c r="F269" s="19"/>
      <c r="G269" s="19"/>
      <c r="H269" s="19"/>
      <c r="I269" s="22"/>
      <c r="J269" s="19"/>
      <c r="K269" s="19"/>
      <c r="L269" s="19"/>
      <c r="M269" s="23"/>
    </row>
    <row r="270">
      <c r="A270" s="19"/>
      <c r="B270" s="19"/>
      <c r="C270" s="19"/>
      <c r="D270" s="19"/>
      <c r="E270" s="19"/>
      <c r="F270" s="19"/>
      <c r="G270" s="19"/>
      <c r="H270" s="19"/>
      <c r="I270" s="22"/>
      <c r="J270" s="19"/>
      <c r="K270" s="19"/>
      <c r="L270" s="19"/>
      <c r="M270" s="23"/>
    </row>
    <row r="271">
      <c r="A271" s="19"/>
      <c r="B271" s="19"/>
      <c r="C271" s="19"/>
      <c r="D271" s="19"/>
      <c r="E271" s="19"/>
      <c r="F271" s="19"/>
      <c r="G271" s="19"/>
      <c r="H271" s="19"/>
      <c r="I271" s="22"/>
      <c r="J271" s="19"/>
      <c r="K271" s="19"/>
      <c r="L271" s="19"/>
      <c r="M271" s="23"/>
    </row>
    <row r="272">
      <c r="A272" s="19"/>
      <c r="B272" s="19"/>
      <c r="C272" s="19"/>
      <c r="D272" s="19"/>
      <c r="E272" s="19"/>
      <c r="F272" s="19"/>
      <c r="G272" s="19"/>
      <c r="H272" s="19"/>
      <c r="I272" s="22"/>
      <c r="J272" s="19"/>
      <c r="K272" s="19"/>
      <c r="L272" s="19"/>
      <c r="M272" s="23"/>
    </row>
    <row r="273">
      <c r="A273" s="19"/>
      <c r="B273" s="19"/>
      <c r="C273" s="19"/>
      <c r="D273" s="19"/>
      <c r="E273" s="19"/>
      <c r="F273" s="19"/>
      <c r="G273" s="19"/>
      <c r="H273" s="19"/>
      <c r="I273" s="22"/>
      <c r="J273" s="19"/>
      <c r="K273" s="19"/>
      <c r="L273" s="19"/>
      <c r="M273" s="23"/>
    </row>
    <row r="274">
      <c r="A274" s="19"/>
      <c r="B274" s="19"/>
      <c r="C274" s="19"/>
      <c r="D274" s="19"/>
      <c r="E274" s="19"/>
      <c r="F274" s="19"/>
      <c r="G274" s="19"/>
      <c r="H274" s="19"/>
      <c r="I274" s="22"/>
      <c r="J274" s="19"/>
      <c r="K274" s="19"/>
      <c r="L274" s="19"/>
      <c r="M274" s="23"/>
    </row>
    <row r="275">
      <c r="A275" s="19"/>
      <c r="B275" s="19"/>
      <c r="C275" s="19"/>
      <c r="D275" s="19"/>
      <c r="E275" s="19"/>
      <c r="F275" s="19"/>
      <c r="G275" s="19"/>
      <c r="H275" s="19"/>
      <c r="I275" s="22"/>
      <c r="J275" s="19"/>
      <c r="K275" s="19"/>
      <c r="L275" s="19"/>
      <c r="M275" s="23"/>
    </row>
    <row r="276">
      <c r="A276" s="19"/>
      <c r="B276" s="19"/>
      <c r="C276" s="19"/>
      <c r="D276" s="19"/>
      <c r="E276" s="19"/>
      <c r="F276" s="19"/>
      <c r="G276" s="19"/>
      <c r="H276" s="19"/>
      <c r="I276" s="22"/>
      <c r="J276" s="19"/>
      <c r="K276" s="19"/>
      <c r="L276" s="19"/>
      <c r="M276" s="23"/>
    </row>
    <row r="277">
      <c r="A277" s="19"/>
      <c r="B277" s="19"/>
      <c r="C277" s="19"/>
      <c r="D277" s="19"/>
      <c r="E277" s="19"/>
      <c r="F277" s="19"/>
      <c r="G277" s="19"/>
      <c r="H277" s="19"/>
      <c r="I277" s="22"/>
      <c r="J277" s="19"/>
      <c r="K277" s="19"/>
      <c r="L277" s="19"/>
      <c r="M277" s="23"/>
    </row>
    <row r="278">
      <c r="A278" s="19"/>
      <c r="B278" s="19"/>
      <c r="C278" s="19"/>
      <c r="D278" s="19"/>
      <c r="E278" s="19"/>
      <c r="F278" s="19"/>
      <c r="G278" s="19"/>
      <c r="H278" s="19"/>
      <c r="I278" s="22"/>
      <c r="J278" s="19"/>
      <c r="K278" s="19"/>
      <c r="L278" s="19"/>
      <c r="M278" s="23"/>
    </row>
    <row r="279">
      <c r="A279" s="19"/>
      <c r="B279" s="19"/>
      <c r="C279" s="19"/>
      <c r="D279" s="19"/>
      <c r="E279" s="19"/>
      <c r="F279" s="19"/>
      <c r="G279" s="19"/>
      <c r="H279" s="19"/>
      <c r="I279" s="22"/>
      <c r="J279" s="19"/>
      <c r="K279" s="19"/>
      <c r="L279" s="19"/>
      <c r="M279" s="23"/>
    </row>
    <row r="280">
      <c r="A280" s="19"/>
      <c r="B280" s="19"/>
      <c r="C280" s="19"/>
      <c r="D280" s="19"/>
      <c r="E280" s="19"/>
      <c r="F280" s="19"/>
      <c r="G280" s="19"/>
      <c r="H280" s="19"/>
      <c r="I280" s="22"/>
      <c r="J280" s="19"/>
      <c r="K280" s="19"/>
      <c r="L280" s="19"/>
      <c r="M280" s="23"/>
    </row>
    <row r="281">
      <c r="A281" s="19"/>
      <c r="B281" s="19"/>
      <c r="C281" s="19"/>
      <c r="D281" s="19"/>
      <c r="E281" s="19"/>
      <c r="F281" s="19"/>
      <c r="G281" s="19"/>
      <c r="H281" s="19"/>
      <c r="I281" s="22"/>
      <c r="J281" s="19"/>
      <c r="K281" s="19"/>
      <c r="L281" s="19"/>
      <c r="M281" s="23"/>
    </row>
    <row r="282">
      <c r="A282" s="19"/>
      <c r="B282" s="19"/>
      <c r="C282" s="19"/>
      <c r="D282" s="19"/>
      <c r="E282" s="19"/>
      <c r="F282" s="19"/>
      <c r="G282" s="19"/>
      <c r="H282" s="19"/>
      <c r="I282" s="22"/>
      <c r="J282" s="19"/>
      <c r="K282" s="19"/>
      <c r="L282" s="19"/>
      <c r="M282" s="23"/>
    </row>
    <row r="283">
      <c r="A283" s="19"/>
      <c r="B283" s="19"/>
      <c r="C283" s="19"/>
      <c r="D283" s="19"/>
      <c r="E283" s="19"/>
      <c r="F283" s="19"/>
      <c r="G283" s="19"/>
      <c r="H283" s="19"/>
      <c r="I283" s="22"/>
      <c r="J283" s="19"/>
      <c r="K283" s="19"/>
      <c r="L283" s="19"/>
      <c r="M283" s="23"/>
    </row>
    <row r="284">
      <c r="A284" s="19"/>
      <c r="B284" s="19"/>
      <c r="C284" s="19"/>
      <c r="D284" s="19"/>
      <c r="E284" s="19"/>
      <c r="F284" s="19"/>
      <c r="G284" s="19"/>
      <c r="H284" s="19"/>
      <c r="I284" s="22"/>
      <c r="J284" s="19"/>
      <c r="K284" s="19"/>
      <c r="L284" s="19"/>
      <c r="M284" s="23"/>
    </row>
    <row r="285">
      <c r="A285" s="19"/>
      <c r="B285" s="19"/>
      <c r="C285" s="19"/>
      <c r="D285" s="19"/>
      <c r="E285" s="19"/>
      <c r="F285" s="19"/>
      <c r="G285" s="19"/>
      <c r="H285" s="19"/>
      <c r="I285" s="22"/>
      <c r="J285" s="19"/>
      <c r="K285" s="19"/>
      <c r="L285" s="19"/>
      <c r="M285" s="23"/>
    </row>
    <row r="286">
      <c r="A286" s="19"/>
      <c r="B286" s="19"/>
      <c r="C286" s="19"/>
      <c r="D286" s="19"/>
      <c r="E286" s="19"/>
      <c r="F286" s="19"/>
      <c r="G286" s="19"/>
      <c r="H286" s="19"/>
      <c r="I286" s="22"/>
      <c r="J286" s="19"/>
      <c r="K286" s="19"/>
      <c r="L286" s="19"/>
      <c r="M286" s="23"/>
    </row>
    <row r="287">
      <c r="A287" s="19"/>
      <c r="B287" s="19"/>
      <c r="C287" s="19"/>
      <c r="D287" s="19"/>
      <c r="E287" s="19"/>
      <c r="F287" s="19"/>
      <c r="G287" s="19"/>
      <c r="H287" s="19"/>
      <c r="I287" s="22"/>
      <c r="J287" s="19"/>
      <c r="K287" s="19"/>
      <c r="L287" s="19"/>
      <c r="M287" s="23"/>
    </row>
    <row r="288">
      <c r="A288" s="19"/>
      <c r="B288" s="19"/>
      <c r="C288" s="19"/>
      <c r="D288" s="19"/>
      <c r="E288" s="19"/>
      <c r="F288" s="19"/>
      <c r="G288" s="19"/>
      <c r="H288" s="19"/>
      <c r="I288" s="22"/>
      <c r="J288" s="19"/>
      <c r="K288" s="19"/>
      <c r="L288" s="19"/>
      <c r="M288" s="23"/>
    </row>
    <row r="289">
      <c r="A289" s="19"/>
      <c r="B289" s="19"/>
      <c r="C289" s="19"/>
      <c r="D289" s="19"/>
      <c r="E289" s="19"/>
      <c r="F289" s="19"/>
      <c r="G289" s="19"/>
      <c r="H289" s="19"/>
      <c r="I289" s="22"/>
      <c r="J289" s="19"/>
      <c r="K289" s="19"/>
      <c r="L289" s="19"/>
      <c r="M289" s="23"/>
    </row>
    <row r="290">
      <c r="A290" s="19"/>
      <c r="B290" s="19"/>
      <c r="C290" s="19"/>
      <c r="D290" s="19"/>
      <c r="E290" s="19"/>
      <c r="F290" s="19"/>
      <c r="G290" s="19"/>
      <c r="H290" s="19"/>
      <c r="I290" s="22"/>
      <c r="J290" s="19"/>
      <c r="K290" s="19"/>
      <c r="L290" s="19"/>
      <c r="M290" s="23"/>
    </row>
    <row r="291">
      <c r="A291" s="19"/>
      <c r="B291" s="19"/>
      <c r="C291" s="19"/>
      <c r="D291" s="19"/>
      <c r="E291" s="19"/>
      <c r="F291" s="19"/>
      <c r="G291" s="19"/>
      <c r="H291" s="19"/>
      <c r="I291" s="22"/>
      <c r="J291" s="19"/>
      <c r="K291" s="19"/>
      <c r="L291" s="19"/>
      <c r="M291" s="23"/>
    </row>
    <row r="292">
      <c r="A292" s="19"/>
      <c r="B292" s="19"/>
      <c r="C292" s="19"/>
      <c r="D292" s="19"/>
      <c r="E292" s="19"/>
      <c r="F292" s="19"/>
      <c r="G292" s="19"/>
      <c r="H292" s="19"/>
      <c r="I292" s="22"/>
      <c r="J292" s="19"/>
      <c r="K292" s="19"/>
      <c r="L292" s="19"/>
      <c r="M292" s="23"/>
    </row>
    <row r="293">
      <c r="A293" s="19"/>
      <c r="B293" s="19"/>
      <c r="C293" s="19"/>
      <c r="D293" s="19"/>
      <c r="E293" s="19"/>
      <c r="F293" s="19"/>
      <c r="G293" s="19"/>
      <c r="H293" s="19"/>
      <c r="I293" s="22"/>
      <c r="J293" s="19"/>
      <c r="K293" s="19"/>
      <c r="L293" s="19"/>
      <c r="M293" s="23"/>
    </row>
    <row r="294">
      <c r="A294" s="19"/>
      <c r="B294" s="19"/>
      <c r="C294" s="19"/>
      <c r="D294" s="19"/>
      <c r="E294" s="19"/>
      <c r="F294" s="19"/>
      <c r="G294" s="19"/>
      <c r="H294" s="19"/>
      <c r="I294" s="22"/>
      <c r="J294" s="19"/>
      <c r="K294" s="19"/>
      <c r="L294" s="19"/>
      <c r="M294" s="23"/>
    </row>
    <row r="295">
      <c r="A295" s="19"/>
      <c r="B295" s="19"/>
      <c r="C295" s="19"/>
      <c r="D295" s="19"/>
      <c r="E295" s="19"/>
      <c r="F295" s="19"/>
      <c r="G295" s="19"/>
      <c r="H295" s="19"/>
      <c r="I295" s="22"/>
      <c r="J295" s="19"/>
      <c r="K295" s="19"/>
      <c r="L295" s="19"/>
      <c r="M295" s="23"/>
    </row>
    <row r="296">
      <c r="A296" s="19"/>
      <c r="B296" s="19"/>
      <c r="C296" s="19"/>
      <c r="D296" s="19"/>
      <c r="E296" s="19"/>
      <c r="F296" s="19"/>
      <c r="G296" s="19"/>
      <c r="H296" s="19"/>
      <c r="I296" s="22"/>
      <c r="J296" s="19"/>
      <c r="K296" s="19"/>
      <c r="L296" s="19"/>
      <c r="M296" s="23"/>
    </row>
    <row r="297">
      <c r="A297" s="19"/>
      <c r="B297" s="19"/>
      <c r="C297" s="19"/>
      <c r="D297" s="19"/>
      <c r="E297" s="19"/>
      <c r="F297" s="19"/>
      <c r="G297" s="19"/>
      <c r="H297" s="19"/>
      <c r="I297" s="22"/>
      <c r="J297" s="19"/>
      <c r="K297" s="19"/>
      <c r="L297" s="19"/>
      <c r="M297" s="23"/>
    </row>
    <row r="298">
      <c r="A298" s="19"/>
      <c r="B298" s="19"/>
      <c r="C298" s="19"/>
      <c r="D298" s="19"/>
      <c r="E298" s="19"/>
      <c r="F298" s="19"/>
      <c r="G298" s="19"/>
      <c r="H298" s="19"/>
      <c r="I298" s="22"/>
      <c r="J298" s="19"/>
      <c r="K298" s="19"/>
      <c r="L298" s="19"/>
      <c r="M298" s="23"/>
    </row>
    <row r="299">
      <c r="A299" s="19"/>
      <c r="B299" s="19"/>
      <c r="C299" s="19"/>
      <c r="D299" s="19"/>
      <c r="E299" s="19"/>
      <c r="F299" s="19"/>
      <c r="G299" s="19"/>
      <c r="H299" s="19"/>
      <c r="I299" s="22"/>
      <c r="J299" s="19"/>
      <c r="K299" s="19"/>
      <c r="L299" s="19"/>
      <c r="M299" s="23"/>
    </row>
    <row r="300">
      <c r="A300" s="19"/>
      <c r="B300" s="19"/>
      <c r="C300" s="19"/>
      <c r="D300" s="19"/>
      <c r="E300" s="19"/>
      <c r="F300" s="19"/>
      <c r="G300" s="19"/>
      <c r="H300" s="19"/>
      <c r="I300" s="22"/>
      <c r="J300" s="19"/>
      <c r="K300" s="19"/>
      <c r="L300" s="19"/>
      <c r="M300" s="23"/>
    </row>
    <row r="301">
      <c r="A301" s="19"/>
      <c r="B301" s="19"/>
      <c r="C301" s="19"/>
      <c r="D301" s="19"/>
      <c r="E301" s="19"/>
      <c r="F301" s="19"/>
      <c r="G301" s="19"/>
      <c r="H301" s="19"/>
      <c r="I301" s="22"/>
      <c r="J301" s="19"/>
      <c r="K301" s="19"/>
      <c r="L301" s="19"/>
      <c r="M301" s="23"/>
    </row>
    <row r="302">
      <c r="A302" s="19"/>
      <c r="B302" s="19"/>
      <c r="C302" s="19"/>
      <c r="D302" s="19"/>
      <c r="E302" s="19"/>
      <c r="F302" s="19"/>
      <c r="G302" s="19"/>
      <c r="H302" s="19"/>
      <c r="I302" s="22"/>
      <c r="J302" s="19"/>
      <c r="K302" s="19"/>
      <c r="L302" s="19"/>
      <c r="M302" s="23"/>
    </row>
    <row r="303">
      <c r="A303" s="19"/>
      <c r="B303" s="19"/>
      <c r="C303" s="19"/>
      <c r="D303" s="19"/>
      <c r="E303" s="19"/>
      <c r="F303" s="19"/>
      <c r="G303" s="19"/>
      <c r="H303" s="19"/>
      <c r="I303" s="22"/>
      <c r="J303" s="19"/>
      <c r="K303" s="19"/>
      <c r="L303" s="19"/>
      <c r="M303" s="23"/>
    </row>
    <row r="304">
      <c r="A304" s="19"/>
      <c r="B304" s="19"/>
      <c r="C304" s="19"/>
      <c r="D304" s="19"/>
      <c r="E304" s="19"/>
      <c r="F304" s="19"/>
      <c r="G304" s="19"/>
      <c r="H304" s="19"/>
      <c r="I304" s="22"/>
      <c r="J304" s="19"/>
      <c r="K304" s="19"/>
      <c r="L304" s="19"/>
      <c r="M304" s="23"/>
    </row>
    <row r="305">
      <c r="A305" s="19"/>
      <c r="B305" s="19"/>
      <c r="C305" s="19"/>
      <c r="D305" s="19"/>
      <c r="E305" s="19"/>
      <c r="F305" s="19"/>
      <c r="G305" s="19"/>
      <c r="H305" s="19"/>
      <c r="I305" s="22"/>
      <c r="J305" s="19"/>
      <c r="K305" s="19"/>
      <c r="L305" s="19"/>
      <c r="M305" s="23"/>
    </row>
    <row r="306">
      <c r="A306" s="19"/>
      <c r="B306" s="19"/>
      <c r="C306" s="19"/>
      <c r="D306" s="19"/>
      <c r="E306" s="19"/>
      <c r="F306" s="19"/>
      <c r="G306" s="19"/>
      <c r="H306" s="19"/>
      <c r="I306" s="22"/>
      <c r="J306" s="19"/>
      <c r="K306" s="19"/>
      <c r="L306" s="19"/>
      <c r="M306" s="23"/>
    </row>
    <row r="307">
      <c r="A307" s="19"/>
      <c r="B307" s="19"/>
      <c r="C307" s="19"/>
      <c r="D307" s="19"/>
      <c r="E307" s="19"/>
      <c r="F307" s="19"/>
      <c r="G307" s="19"/>
      <c r="H307" s="19"/>
      <c r="I307" s="22"/>
      <c r="J307" s="19"/>
      <c r="K307" s="19"/>
      <c r="L307" s="19"/>
      <c r="M307" s="23"/>
    </row>
    <row r="308">
      <c r="A308" s="19"/>
      <c r="B308" s="19"/>
      <c r="C308" s="19"/>
      <c r="D308" s="19"/>
      <c r="E308" s="19"/>
      <c r="F308" s="19"/>
      <c r="G308" s="19"/>
      <c r="H308" s="19"/>
      <c r="I308" s="22"/>
      <c r="J308" s="19"/>
      <c r="K308" s="19"/>
      <c r="L308" s="19"/>
      <c r="M308" s="23"/>
    </row>
    <row r="309">
      <c r="A309" s="19"/>
      <c r="B309" s="19"/>
      <c r="C309" s="19"/>
      <c r="D309" s="19"/>
      <c r="E309" s="19"/>
      <c r="F309" s="19"/>
      <c r="G309" s="19"/>
      <c r="H309" s="19"/>
      <c r="I309" s="22"/>
      <c r="J309" s="19"/>
      <c r="K309" s="19"/>
      <c r="L309" s="19"/>
      <c r="M309" s="23"/>
    </row>
    <row r="310">
      <c r="A310" s="19"/>
      <c r="B310" s="19"/>
      <c r="C310" s="19"/>
      <c r="D310" s="19"/>
      <c r="E310" s="19"/>
      <c r="F310" s="19"/>
      <c r="G310" s="19"/>
      <c r="H310" s="19"/>
      <c r="I310" s="22"/>
      <c r="J310" s="19"/>
      <c r="K310" s="19"/>
      <c r="L310" s="19"/>
      <c r="M310" s="23"/>
    </row>
    <row r="311">
      <c r="A311" s="19"/>
      <c r="B311" s="19"/>
      <c r="C311" s="19"/>
      <c r="D311" s="19"/>
      <c r="E311" s="19"/>
      <c r="F311" s="19"/>
      <c r="G311" s="19"/>
      <c r="H311" s="19"/>
      <c r="I311" s="22"/>
      <c r="J311" s="19"/>
      <c r="K311" s="19"/>
      <c r="L311" s="19"/>
      <c r="M311" s="23"/>
    </row>
    <row r="312">
      <c r="A312" s="19"/>
      <c r="B312" s="19"/>
      <c r="C312" s="19"/>
      <c r="D312" s="19"/>
      <c r="E312" s="19"/>
      <c r="F312" s="19"/>
      <c r="G312" s="19"/>
      <c r="H312" s="19"/>
      <c r="I312" s="22"/>
      <c r="J312" s="19"/>
      <c r="K312" s="19"/>
      <c r="L312" s="19"/>
      <c r="M312" s="23"/>
    </row>
    <row r="313">
      <c r="A313" s="19"/>
      <c r="B313" s="19"/>
      <c r="C313" s="19"/>
      <c r="D313" s="19"/>
      <c r="E313" s="19"/>
      <c r="F313" s="19"/>
      <c r="G313" s="19"/>
      <c r="H313" s="19"/>
      <c r="I313" s="22"/>
      <c r="J313" s="19"/>
      <c r="K313" s="19"/>
      <c r="L313" s="19"/>
      <c r="M313" s="23"/>
    </row>
    <row r="314">
      <c r="A314" s="19"/>
      <c r="B314" s="19"/>
      <c r="C314" s="19"/>
      <c r="D314" s="19"/>
      <c r="E314" s="19"/>
      <c r="F314" s="19"/>
      <c r="G314" s="19"/>
      <c r="H314" s="19"/>
      <c r="I314" s="22"/>
      <c r="J314" s="19"/>
      <c r="K314" s="19"/>
      <c r="L314" s="19"/>
      <c r="M314" s="23"/>
    </row>
    <row r="315">
      <c r="A315" s="19"/>
      <c r="B315" s="19"/>
      <c r="C315" s="19"/>
      <c r="D315" s="19"/>
      <c r="E315" s="19"/>
      <c r="F315" s="19"/>
      <c r="G315" s="19"/>
      <c r="H315" s="19"/>
      <c r="I315" s="22"/>
      <c r="J315" s="19"/>
      <c r="K315" s="19"/>
      <c r="L315" s="19"/>
      <c r="M315" s="23"/>
    </row>
    <row r="316">
      <c r="A316" s="19"/>
      <c r="B316" s="19"/>
      <c r="C316" s="19"/>
      <c r="D316" s="19"/>
      <c r="E316" s="19"/>
      <c r="F316" s="19"/>
      <c r="G316" s="19"/>
      <c r="H316" s="19"/>
      <c r="I316" s="22"/>
      <c r="J316" s="19"/>
      <c r="K316" s="19"/>
      <c r="L316" s="19"/>
      <c r="M316" s="23"/>
    </row>
    <row r="317">
      <c r="A317" s="19"/>
      <c r="B317" s="19"/>
      <c r="C317" s="19"/>
      <c r="D317" s="19"/>
      <c r="E317" s="19"/>
      <c r="F317" s="19"/>
      <c r="G317" s="19"/>
      <c r="H317" s="19"/>
      <c r="I317" s="22"/>
      <c r="J317" s="19"/>
      <c r="K317" s="19"/>
      <c r="L317" s="19"/>
      <c r="M317" s="23"/>
    </row>
    <row r="318">
      <c r="A318" s="19"/>
      <c r="B318" s="19"/>
      <c r="C318" s="19"/>
      <c r="D318" s="19"/>
      <c r="E318" s="19"/>
      <c r="F318" s="19"/>
      <c r="G318" s="19"/>
      <c r="H318" s="19"/>
      <c r="I318" s="22"/>
      <c r="J318" s="19"/>
      <c r="K318" s="19"/>
      <c r="L318" s="19"/>
      <c r="M318" s="23"/>
    </row>
    <row r="319">
      <c r="A319" s="19"/>
      <c r="B319" s="19"/>
      <c r="C319" s="19"/>
      <c r="D319" s="19"/>
      <c r="E319" s="19"/>
      <c r="F319" s="19"/>
      <c r="G319" s="19"/>
      <c r="H319" s="19"/>
      <c r="I319" s="22"/>
      <c r="J319" s="19"/>
      <c r="K319" s="19"/>
      <c r="L319" s="19"/>
      <c r="M319" s="23"/>
    </row>
    <row r="320">
      <c r="A320" s="19"/>
      <c r="B320" s="19"/>
      <c r="C320" s="19"/>
      <c r="D320" s="19"/>
      <c r="E320" s="19"/>
      <c r="F320" s="19"/>
      <c r="G320" s="19"/>
      <c r="H320" s="19"/>
      <c r="I320" s="22"/>
      <c r="J320" s="19"/>
      <c r="K320" s="19"/>
      <c r="L320" s="19"/>
      <c r="M320" s="23"/>
    </row>
    <row r="321">
      <c r="A321" s="19"/>
      <c r="B321" s="19"/>
      <c r="C321" s="19"/>
      <c r="D321" s="19"/>
      <c r="E321" s="19"/>
      <c r="F321" s="19"/>
      <c r="G321" s="19"/>
      <c r="H321" s="19"/>
      <c r="I321" s="22"/>
      <c r="J321" s="19"/>
      <c r="K321" s="19"/>
      <c r="L321" s="19"/>
      <c r="M321" s="23"/>
    </row>
    <row r="322">
      <c r="A322" s="19"/>
      <c r="B322" s="19"/>
      <c r="C322" s="19"/>
      <c r="D322" s="19"/>
      <c r="E322" s="19"/>
      <c r="F322" s="19"/>
      <c r="G322" s="19"/>
      <c r="H322" s="19"/>
      <c r="I322" s="22"/>
      <c r="J322" s="19"/>
      <c r="K322" s="19"/>
      <c r="L322" s="19"/>
      <c r="M322" s="23"/>
    </row>
    <row r="323">
      <c r="A323" s="19"/>
      <c r="B323" s="19"/>
      <c r="C323" s="19"/>
      <c r="D323" s="19"/>
      <c r="E323" s="19"/>
      <c r="F323" s="19"/>
      <c r="G323" s="19"/>
      <c r="H323" s="19"/>
      <c r="I323" s="22"/>
      <c r="J323" s="19"/>
      <c r="K323" s="19"/>
      <c r="L323" s="19"/>
      <c r="M323" s="23"/>
    </row>
    <row r="324">
      <c r="A324" s="19"/>
      <c r="B324" s="19"/>
      <c r="C324" s="19"/>
      <c r="D324" s="19"/>
      <c r="E324" s="19"/>
      <c r="F324" s="19"/>
      <c r="G324" s="19"/>
      <c r="H324" s="19"/>
      <c r="I324" s="22"/>
      <c r="J324" s="19"/>
      <c r="K324" s="19"/>
      <c r="L324" s="19"/>
      <c r="M324" s="23"/>
    </row>
    <row r="325">
      <c r="A325" s="19"/>
      <c r="B325" s="19"/>
      <c r="C325" s="19"/>
      <c r="D325" s="19"/>
      <c r="E325" s="19"/>
      <c r="F325" s="19"/>
      <c r="G325" s="19"/>
      <c r="H325" s="19"/>
      <c r="I325" s="22"/>
      <c r="J325" s="19"/>
      <c r="K325" s="19"/>
      <c r="L325" s="19"/>
      <c r="M325" s="23"/>
    </row>
    <row r="326">
      <c r="A326" s="19"/>
      <c r="B326" s="19"/>
      <c r="C326" s="19"/>
      <c r="D326" s="19"/>
      <c r="E326" s="19"/>
      <c r="F326" s="19"/>
      <c r="G326" s="19"/>
      <c r="H326" s="19"/>
      <c r="I326" s="22"/>
      <c r="J326" s="19"/>
      <c r="K326" s="19"/>
      <c r="L326" s="19"/>
      <c r="M326" s="23"/>
    </row>
    <row r="327">
      <c r="A327" s="19"/>
      <c r="B327" s="19"/>
      <c r="C327" s="19"/>
      <c r="D327" s="19"/>
      <c r="E327" s="19"/>
      <c r="F327" s="19"/>
      <c r="G327" s="19"/>
      <c r="H327" s="19"/>
      <c r="I327" s="22"/>
      <c r="J327" s="19"/>
      <c r="K327" s="19"/>
      <c r="L327" s="19"/>
      <c r="M327" s="23"/>
    </row>
    <row r="328">
      <c r="A328" s="19"/>
      <c r="B328" s="19"/>
      <c r="C328" s="19"/>
      <c r="D328" s="19"/>
      <c r="E328" s="19"/>
      <c r="F328" s="19"/>
      <c r="G328" s="19"/>
      <c r="H328" s="19"/>
      <c r="I328" s="22"/>
      <c r="J328" s="19"/>
      <c r="K328" s="19"/>
      <c r="L328" s="19"/>
      <c r="M328" s="23"/>
    </row>
    <row r="329">
      <c r="A329" s="19"/>
      <c r="B329" s="19"/>
      <c r="C329" s="19"/>
      <c r="D329" s="19"/>
      <c r="E329" s="19"/>
      <c r="F329" s="19"/>
      <c r="G329" s="19"/>
      <c r="H329" s="19"/>
      <c r="I329" s="22"/>
      <c r="J329" s="19"/>
      <c r="K329" s="19"/>
      <c r="L329" s="19"/>
      <c r="M329" s="23"/>
    </row>
    <row r="330">
      <c r="A330" s="19"/>
      <c r="B330" s="19"/>
      <c r="C330" s="19"/>
      <c r="D330" s="19"/>
      <c r="E330" s="19"/>
      <c r="F330" s="19"/>
      <c r="G330" s="19"/>
      <c r="H330" s="19"/>
      <c r="I330" s="22"/>
      <c r="J330" s="19"/>
      <c r="K330" s="19"/>
      <c r="L330" s="19"/>
      <c r="M330" s="23"/>
    </row>
    <row r="331">
      <c r="A331" s="19"/>
      <c r="B331" s="19"/>
      <c r="C331" s="19"/>
      <c r="D331" s="19"/>
      <c r="E331" s="19"/>
      <c r="F331" s="19"/>
      <c r="G331" s="19"/>
      <c r="H331" s="19"/>
      <c r="I331" s="22"/>
      <c r="J331" s="19"/>
      <c r="K331" s="19"/>
      <c r="L331" s="19"/>
      <c r="M331" s="23"/>
    </row>
    <row r="332">
      <c r="A332" s="19"/>
      <c r="B332" s="19"/>
      <c r="C332" s="19"/>
      <c r="D332" s="19"/>
      <c r="E332" s="19"/>
      <c r="F332" s="19"/>
      <c r="G332" s="19"/>
      <c r="H332" s="19"/>
      <c r="I332" s="22"/>
      <c r="J332" s="19"/>
      <c r="K332" s="19"/>
      <c r="L332" s="19"/>
      <c r="M332" s="23"/>
    </row>
    <row r="333">
      <c r="A333" s="19"/>
      <c r="B333" s="19"/>
      <c r="C333" s="19"/>
      <c r="D333" s="19"/>
      <c r="E333" s="19"/>
      <c r="F333" s="19"/>
      <c r="G333" s="19"/>
      <c r="H333" s="19"/>
      <c r="I333" s="22"/>
      <c r="J333" s="19"/>
      <c r="K333" s="19"/>
      <c r="L333" s="19"/>
      <c r="M333" s="23"/>
    </row>
    <row r="334">
      <c r="A334" s="19"/>
      <c r="B334" s="19"/>
      <c r="C334" s="19"/>
      <c r="D334" s="19"/>
      <c r="E334" s="19"/>
      <c r="F334" s="19"/>
      <c r="G334" s="19"/>
      <c r="H334" s="19"/>
      <c r="I334" s="22"/>
      <c r="J334" s="19"/>
      <c r="K334" s="19"/>
      <c r="L334" s="19"/>
      <c r="M334" s="23"/>
    </row>
    <row r="335">
      <c r="A335" s="19"/>
      <c r="B335" s="19"/>
      <c r="C335" s="19"/>
      <c r="D335" s="19"/>
      <c r="E335" s="19"/>
      <c r="F335" s="19"/>
      <c r="G335" s="19"/>
      <c r="H335" s="19"/>
      <c r="I335" s="22"/>
      <c r="J335" s="19"/>
      <c r="K335" s="19"/>
      <c r="L335" s="19"/>
      <c r="M335" s="23"/>
    </row>
    <row r="336">
      <c r="A336" s="19"/>
      <c r="B336" s="19"/>
      <c r="C336" s="19"/>
      <c r="D336" s="19"/>
      <c r="E336" s="19"/>
      <c r="F336" s="19"/>
      <c r="G336" s="19"/>
      <c r="H336" s="19"/>
      <c r="I336" s="22"/>
      <c r="J336" s="19"/>
      <c r="K336" s="19"/>
      <c r="L336" s="19"/>
      <c r="M336" s="23"/>
    </row>
    <row r="337">
      <c r="A337" s="19"/>
      <c r="B337" s="19"/>
      <c r="C337" s="19"/>
      <c r="D337" s="19"/>
      <c r="E337" s="19"/>
      <c r="F337" s="19"/>
      <c r="G337" s="19"/>
      <c r="H337" s="19"/>
      <c r="I337" s="22"/>
      <c r="J337" s="19"/>
      <c r="K337" s="19"/>
      <c r="L337" s="19"/>
      <c r="M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2"/>
      <c r="J338" s="23"/>
      <c r="K338" s="23"/>
      <c r="L338" s="23"/>
      <c r="M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2"/>
      <c r="J339" s="23"/>
      <c r="K339" s="23"/>
      <c r="L339" s="23"/>
      <c r="M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2"/>
      <c r="J340" s="23"/>
      <c r="K340" s="23"/>
      <c r="L340" s="23"/>
      <c r="M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2"/>
      <c r="J341" s="23"/>
      <c r="K341" s="23"/>
      <c r="L341" s="23"/>
      <c r="M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2"/>
      <c r="J342" s="23"/>
      <c r="K342" s="23"/>
      <c r="L342" s="23"/>
      <c r="M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2"/>
      <c r="J343" s="23"/>
      <c r="K343" s="23"/>
      <c r="L343" s="23"/>
      <c r="M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2"/>
      <c r="J344" s="23"/>
      <c r="K344" s="23"/>
      <c r="L344" s="23"/>
      <c r="M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2"/>
      <c r="J345" s="23"/>
      <c r="K345" s="23"/>
      <c r="L345" s="23"/>
      <c r="M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2"/>
      <c r="J346" s="23"/>
      <c r="K346" s="23"/>
      <c r="L346" s="23"/>
      <c r="M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2"/>
      <c r="J347" s="23"/>
      <c r="K347" s="23"/>
      <c r="L347" s="23"/>
      <c r="M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2"/>
      <c r="J348" s="23"/>
      <c r="K348" s="23"/>
      <c r="L348" s="23"/>
      <c r="M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2"/>
      <c r="J349" s="23"/>
      <c r="K349" s="23"/>
      <c r="L349" s="23"/>
      <c r="M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2"/>
      <c r="J350" s="23"/>
      <c r="K350" s="23"/>
      <c r="L350" s="23"/>
      <c r="M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2"/>
      <c r="J351" s="23"/>
      <c r="K351" s="23"/>
      <c r="L351" s="23"/>
      <c r="M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2"/>
      <c r="J352" s="23"/>
      <c r="K352" s="23"/>
      <c r="L352" s="23"/>
      <c r="M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2"/>
      <c r="J353" s="23"/>
      <c r="K353" s="23"/>
      <c r="L353" s="23"/>
      <c r="M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2"/>
      <c r="J354" s="23"/>
      <c r="K354" s="23"/>
      <c r="L354" s="23"/>
      <c r="M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2"/>
      <c r="J355" s="23"/>
      <c r="K355" s="23"/>
      <c r="L355" s="23"/>
      <c r="M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2"/>
      <c r="J356" s="23"/>
      <c r="K356" s="23"/>
      <c r="L356" s="23"/>
      <c r="M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2"/>
      <c r="J357" s="23"/>
      <c r="K357" s="23"/>
      <c r="L357" s="23"/>
      <c r="M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2"/>
      <c r="J358" s="23"/>
      <c r="K358" s="23"/>
      <c r="L358" s="23"/>
      <c r="M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2"/>
      <c r="J359" s="23"/>
      <c r="K359" s="23"/>
      <c r="L359" s="23"/>
      <c r="M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2"/>
      <c r="J360" s="23"/>
      <c r="K360" s="23"/>
      <c r="L360" s="23"/>
      <c r="M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2"/>
      <c r="J361" s="23"/>
      <c r="K361" s="23"/>
      <c r="L361" s="23"/>
      <c r="M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2"/>
      <c r="J362" s="23"/>
      <c r="K362" s="23"/>
      <c r="L362" s="23"/>
      <c r="M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2"/>
      <c r="J363" s="23"/>
      <c r="K363" s="23"/>
      <c r="L363" s="23"/>
      <c r="M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2"/>
      <c r="J364" s="23"/>
      <c r="K364" s="23"/>
      <c r="L364" s="23"/>
      <c r="M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2"/>
      <c r="J365" s="23"/>
      <c r="K365" s="23"/>
      <c r="L365" s="23"/>
      <c r="M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2"/>
      <c r="J366" s="23"/>
      <c r="K366" s="23"/>
      <c r="L366" s="23"/>
      <c r="M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2"/>
      <c r="J367" s="23"/>
      <c r="K367" s="23"/>
      <c r="L367" s="23"/>
      <c r="M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2"/>
      <c r="J368" s="23"/>
      <c r="K368" s="23"/>
      <c r="L368" s="23"/>
      <c r="M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2"/>
      <c r="J369" s="23"/>
      <c r="K369" s="23"/>
      <c r="L369" s="23"/>
      <c r="M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2"/>
      <c r="J370" s="23"/>
      <c r="K370" s="23"/>
      <c r="L370" s="23"/>
      <c r="M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2"/>
      <c r="J371" s="23"/>
      <c r="K371" s="23"/>
      <c r="L371" s="23"/>
      <c r="M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2"/>
      <c r="J372" s="23"/>
      <c r="K372" s="23"/>
      <c r="L372" s="23"/>
      <c r="M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2"/>
      <c r="J373" s="23"/>
      <c r="K373" s="23"/>
      <c r="L373" s="23"/>
      <c r="M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2"/>
      <c r="J374" s="23"/>
      <c r="K374" s="23"/>
      <c r="L374" s="23"/>
      <c r="M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2"/>
      <c r="J375" s="23"/>
      <c r="K375" s="23"/>
      <c r="L375" s="23"/>
      <c r="M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2"/>
      <c r="J376" s="23"/>
      <c r="K376" s="23"/>
      <c r="L376" s="23"/>
      <c r="M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2"/>
      <c r="J377" s="23"/>
      <c r="K377" s="23"/>
      <c r="L377" s="23"/>
      <c r="M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2"/>
      <c r="J378" s="23"/>
      <c r="K378" s="23"/>
      <c r="L378" s="23"/>
      <c r="M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2"/>
      <c r="J379" s="23"/>
      <c r="K379" s="23"/>
      <c r="L379" s="23"/>
      <c r="M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2"/>
      <c r="J380" s="23"/>
      <c r="K380" s="23"/>
      <c r="L380" s="23"/>
      <c r="M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2"/>
      <c r="J381" s="23"/>
      <c r="K381" s="23"/>
      <c r="L381" s="23"/>
      <c r="M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2"/>
      <c r="J382" s="23"/>
      <c r="K382" s="23"/>
      <c r="L382" s="23"/>
      <c r="M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2"/>
      <c r="J383" s="23"/>
      <c r="K383" s="23"/>
      <c r="L383" s="23"/>
      <c r="M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2"/>
      <c r="J384" s="23"/>
      <c r="K384" s="23"/>
      <c r="L384" s="23"/>
      <c r="M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2"/>
      <c r="J385" s="23"/>
      <c r="K385" s="23"/>
      <c r="L385" s="23"/>
      <c r="M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2"/>
      <c r="J386" s="23"/>
      <c r="K386" s="23"/>
      <c r="L386" s="23"/>
      <c r="M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2"/>
      <c r="J387" s="23"/>
      <c r="K387" s="23"/>
      <c r="L387" s="23"/>
      <c r="M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2"/>
      <c r="J388" s="23"/>
      <c r="K388" s="23"/>
      <c r="L388" s="23"/>
      <c r="M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2"/>
      <c r="J389" s="23"/>
      <c r="K389" s="23"/>
      <c r="L389" s="23"/>
      <c r="M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2"/>
      <c r="J390" s="23"/>
      <c r="K390" s="23"/>
      <c r="L390" s="23"/>
      <c r="M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2"/>
      <c r="J391" s="23"/>
      <c r="K391" s="23"/>
      <c r="L391" s="23"/>
      <c r="M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2"/>
      <c r="J392" s="23"/>
      <c r="K392" s="23"/>
      <c r="L392" s="23"/>
      <c r="M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2"/>
      <c r="J393" s="23"/>
      <c r="K393" s="23"/>
      <c r="L393" s="23"/>
      <c r="M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2"/>
      <c r="J394" s="23"/>
      <c r="K394" s="23"/>
      <c r="L394" s="23"/>
      <c r="M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2"/>
      <c r="J395" s="23"/>
      <c r="K395" s="23"/>
      <c r="L395" s="23"/>
      <c r="M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2"/>
      <c r="J396" s="23"/>
      <c r="K396" s="23"/>
      <c r="L396" s="23"/>
      <c r="M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2"/>
      <c r="J397" s="23"/>
      <c r="K397" s="23"/>
      <c r="L397" s="23"/>
      <c r="M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2"/>
      <c r="J398" s="23"/>
      <c r="K398" s="23"/>
      <c r="L398" s="23"/>
      <c r="M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2"/>
      <c r="J399" s="23"/>
      <c r="K399" s="23"/>
      <c r="L399" s="23"/>
      <c r="M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2"/>
      <c r="J400" s="23"/>
      <c r="K400" s="23"/>
      <c r="L400" s="23"/>
      <c r="M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2"/>
      <c r="J401" s="23"/>
      <c r="K401" s="23"/>
      <c r="L401" s="23"/>
      <c r="M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2"/>
      <c r="J402" s="23"/>
      <c r="K402" s="23"/>
      <c r="L402" s="23"/>
      <c r="M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2"/>
      <c r="J403" s="23"/>
      <c r="K403" s="23"/>
      <c r="L403" s="23"/>
      <c r="M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2"/>
      <c r="J404" s="23"/>
      <c r="K404" s="23"/>
      <c r="L404" s="23"/>
      <c r="M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2"/>
      <c r="J405" s="23"/>
      <c r="K405" s="23"/>
      <c r="L405" s="23"/>
      <c r="M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2"/>
      <c r="J406" s="23"/>
      <c r="K406" s="23"/>
      <c r="L406" s="23"/>
      <c r="M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2"/>
      <c r="J407" s="23"/>
      <c r="K407" s="23"/>
      <c r="L407" s="23"/>
      <c r="M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2"/>
      <c r="J408" s="23"/>
      <c r="K408" s="23"/>
      <c r="L408" s="23"/>
      <c r="M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2"/>
      <c r="J409" s="23"/>
      <c r="K409" s="23"/>
      <c r="L409" s="23"/>
      <c r="M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2"/>
      <c r="J410" s="23"/>
      <c r="K410" s="23"/>
      <c r="L410" s="23"/>
      <c r="M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2"/>
      <c r="J411" s="23"/>
      <c r="K411" s="23"/>
      <c r="L411" s="23"/>
      <c r="M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2"/>
      <c r="J412" s="23"/>
      <c r="K412" s="23"/>
      <c r="L412" s="23"/>
      <c r="M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2"/>
      <c r="J413" s="23"/>
      <c r="K413" s="23"/>
      <c r="L413" s="23"/>
      <c r="M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2"/>
      <c r="J414" s="23"/>
      <c r="K414" s="23"/>
      <c r="L414" s="23"/>
      <c r="M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2"/>
      <c r="J415" s="23"/>
      <c r="K415" s="23"/>
      <c r="L415" s="23"/>
      <c r="M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2"/>
      <c r="J416" s="23"/>
      <c r="K416" s="23"/>
      <c r="L416" s="23"/>
      <c r="M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2"/>
      <c r="J417" s="23"/>
      <c r="K417" s="23"/>
      <c r="L417" s="23"/>
      <c r="M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2"/>
      <c r="J418" s="23"/>
      <c r="K418" s="23"/>
      <c r="L418" s="23"/>
      <c r="M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2"/>
      <c r="J419" s="23"/>
      <c r="K419" s="23"/>
      <c r="L419" s="23"/>
      <c r="M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2"/>
      <c r="J420" s="23"/>
      <c r="K420" s="23"/>
      <c r="L420" s="23"/>
      <c r="M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2"/>
      <c r="J421" s="23"/>
      <c r="K421" s="23"/>
      <c r="L421" s="23"/>
      <c r="M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2"/>
      <c r="J422" s="23"/>
      <c r="K422" s="23"/>
      <c r="L422" s="23"/>
      <c r="M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2"/>
      <c r="J423" s="23"/>
      <c r="K423" s="23"/>
      <c r="L423" s="23"/>
      <c r="M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2"/>
      <c r="J424" s="23"/>
      <c r="K424" s="23"/>
      <c r="L424" s="23"/>
      <c r="M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2"/>
      <c r="J425" s="23"/>
      <c r="K425" s="23"/>
      <c r="L425" s="23"/>
      <c r="M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2"/>
      <c r="J426" s="23"/>
      <c r="K426" s="23"/>
      <c r="L426" s="23"/>
      <c r="M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2"/>
      <c r="J427" s="23"/>
      <c r="K427" s="23"/>
      <c r="L427" s="23"/>
      <c r="M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2"/>
      <c r="J428" s="23"/>
      <c r="K428" s="23"/>
      <c r="L428" s="23"/>
      <c r="M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2"/>
      <c r="J429" s="23"/>
      <c r="K429" s="23"/>
      <c r="L429" s="23"/>
      <c r="M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2"/>
      <c r="J430" s="23"/>
      <c r="K430" s="23"/>
      <c r="L430" s="23"/>
      <c r="M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2"/>
      <c r="J431" s="23"/>
      <c r="K431" s="23"/>
      <c r="L431" s="23"/>
      <c r="M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2"/>
      <c r="J432" s="23"/>
      <c r="K432" s="23"/>
      <c r="L432" s="23"/>
      <c r="M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2"/>
      <c r="J433" s="23"/>
      <c r="K433" s="23"/>
      <c r="L433" s="23"/>
      <c r="M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2"/>
      <c r="J434" s="23"/>
      <c r="K434" s="23"/>
      <c r="L434" s="23"/>
      <c r="M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2"/>
      <c r="J435" s="23"/>
      <c r="K435" s="23"/>
      <c r="L435" s="23"/>
      <c r="M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2"/>
      <c r="J436" s="23"/>
      <c r="K436" s="23"/>
      <c r="L436" s="23"/>
      <c r="M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2"/>
      <c r="J437" s="23"/>
      <c r="K437" s="23"/>
      <c r="L437" s="23"/>
      <c r="M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2"/>
      <c r="J438" s="23"/>
      <c r="K438" s="23"/>
      <c r="L438" s="23"/>
      <c r="M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2"/>
      <c r="J439" s="23"/>
      <c r="K439" s="23"/>
      <c r="L439" s="23"/>
      <c r="M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2"/>
      <c r="J440" s="23"/>
      <c r="K440" s="23"/>
      <c r="L440" s="23"/>
      <c r="M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2"/>
      <c r="J441" s="23"/>
      <c r="K441" s="23"/>
      <c r="L441" s="23"/>
      <c r="M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2"/>
      <c r="J442" s="23"/>
      <c r="K442" s="23"/>
      <c r="L442" s="23"/>
      <c r="M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2"/>
      <c r="J443" s="23"/>
      <c r="K443" s="23"/>
      <c r="L443" s="23"/>
      <c r="M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2"/>
      <c r="J444" s="23"/>
      <c r="K444" s="23"/>
      <c r="L444" s="23"/>
      <c r="M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2"/>
      <c r="J445" s="23"/>
      <c r="K445" s="23"/>
      <c r="L445" s="23"/>
      <c r="M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2"/>
      <c r="J446" s="23"/>
      <c r="K446" s="23"/>
      <c r="L446" s="23"/>
      <c r="M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2"/>
      <c r="J447" s="23"/>
      <c r="K447" s="23"/>
      <c r="L447" s="23"/>
      <c r="M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2"/>
      <c r="J448" s="23"/>
      <c r="K448" s="23"/>
      <c r="L448" s="23"/>
      <c r="M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2"/>
      <c r="J449" s="23"/>
      <c r="K449" s="23"/>
      <c r="L449" s="23"/>
      <c r="M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2"/>
      <c r="J450" s="23"/>
      <c r="K450" s="23"/>
      <c r="L450" s="23"/>
      <c r="M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2"/>
      <c r="J451" s="23"/>
      <c r="K451" s="23"/>
      <c r="L451" s="23"/>
      <c r="M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2"/>
      <c r="J452" s="23"/>
      <c r="K452" s="23"/>
      <c r="L452" s="23"/>
      <c r="M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2"/>
      <c r="J453" s="23"/>
      <c r="K453" s="23"/>
      <c r="L453" s="23"/>
      <c r="M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2"/>
      <c r="J454" s="23"/>
      <c r="K454" s="23"/>
      <c r="L454" s="23"/>
      <c r="M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2"/>
      <c r="J455" s="23"/>
      <c r="K455" s="23"/>
      <c r="L455" s="23"/>
      <c r="M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2"/>
      <c r="J456" s="23"/>
      <c r="K456" s="23"/>
      <c r="L456" s="23"/>
      <c r="M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2"/>
      <c r="J457" s="23"/>
      <c r="K457" s="23"/>
      <c r="L457" s="23"/>
      <c r="M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2"/>
      <c r="J458" s="23"/>
      <c r="K458" s="23"/>
      <c r="L458" s="23"/>
      <c r="M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2"/>
      <c r="J459" s="23"/>
      <c r="K459" s="23"/>
      <c r="L459" s="23"/>
      <c r="M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2"/>
      <c r="J460" s="23"/>
      <c r="K460" s="23"/>
      <c r="L460" s="23"/>
      <c r="M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2"/>
      <c r="J461" s="23"/>
      <c r="K461" s="23"/>
      <c r="L461" s="23"/>
      <c r="M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2"/>
      <c r="J462" s="23"/>
      <c r="K462" s="23"/>
      <c r="L462" s="23"/>
      <c r="M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2"/>
      <c r="J463" s="23"/>
      <c r="K463" s="23"/>
      <c r="L463" s="23"/>
      <c r="M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2"/>
      <c r="J464" s="23"/>
      <c r="K464" s="23"/>
      <c r="L464" s="23"/>
      <c r="M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2"/>
      <c r="J465" s="23"/>
      <c r="K465" s="23"/>
      <c r="L465" s="23"/>
      <c r="M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2"/>
      <c r="J466" s="23"/>
      <c r="K466" s="23"/>
      <c r="L466" s="23"/>
      <c r="M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2"/>
      <c r="J467" s="23"/>
      <c r="K467" s="23"/>
      <c r="L467" s="23"/>
      <c r="M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2"/>
      <c r="J468" s="23"/>
      <c r="K468" s="23"/>
      <c r="L468" s="23"/>
      <c r="M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2"/>
      <c r="J469" s="23"/>
      <c r="K469" s="23"/>
      <c r="L469" s="23"/>
      <c r="M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2"/>
      <c r="J470" s="23"/>
      <c r="K470" s="23"/>
      <c r="L470" s="23"/>
      <c r="M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2"/>
      <c r="J471" s="23"/>
      <c r="K471" s="23"/>
      <c r="L471" s="23"/>
      <c r="M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2"/>
      <c r="J472" s="23"/>
      <c r="K472" s="23"/>
      <c r="L472" s="23"/>
      <c r="M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2"/>
      <c r="J473" s="23"/>
      <c r="K473" s="23"/>
      <c r="L473" s="23"/>
      <c r="M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2"/>
      <c r="J474" s="23"/>
      <c r="K474" s="23"/>
      <c r="L474" s="23"/>
      <c r="M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2"/>
      <c r="J475" s="23"/>
      <c r="K475" s="23"/>
      <c r="L475" s="23"/>
      <c r="M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2"/>
      <c r="J476" s="23"/>
      <c r="K476" s="23"/>
      <c r="L476" s="23"/>
      <c r="M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2"/>
      <c r="J477" s="23"/>
      <c r="K477" s="23"/>
      <c r="L477" s="23"/>
      <c r="M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2"/>
      <c r="J478" s="23"/>
      <c r="K478" s="23"/>
      <c r="L478" s="23"/>
      <c r="M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2"/>
      <c r="J479" s="23"/>
      <c r="K479" s="23"/>
      <c r="L479" s="23"/>
      <c r="M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2"/>
      <c r="J480" s="23"/>
      <c r="K480" s="23"/>
      <c r="L480" s="23"/>
      <c r="M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2"/>
      <c r="J481" s="23"/>
      <c r="K481" s="23"/>
      <c r="L481" s="23"/>
      <c r="M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2"/>
      <c r="J482" s="23"/>
      <c r="K482" s="23"/>
      <c r="L482" s="23"/>
      <c r="M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2"/>
      <c r="J483" s="23"/>
      <c r="K483" s="23"/>
      <c r="L483" s="23"/>
      <c r="M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2"/>
      <c r="J484" s="23"/>
      <c r="K484" s="23"/>
      <c r="L484" s="23"/>
      <c r="M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2"/>
      <c r="J485" s="23"/>
      <c r="K485" s="23"/>
      <c r="L485" s="23"/>
      <c r="M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2"/>
      <c r="J486" s="23"/>
      <c r="K486" s="23"/>
      <c r="L486" s="23"/>
      <c r="M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2"/>
      <c r="J487" s="23"/>
      <c r="K487" s="23"/>
      <c r="L487" s="23"/>
      <c r="M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2"/>
      <c r="J488" s="23"/>
      <c r="K488" s="23"/>
      <c r="L488" s="23"/>
      <c r="M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2"/>
      <c r="J489" s="23"/>
      <c r="K489" s="23"/>
      <c r="L489" s="23"/>
      <c r="M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2"/>
      <c r="J490" s="23"/>
      <c r="K490" s="23"/>
      <c r="L490" s="23"/>
      <c r="M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2"/>
      <c r="J491" s="23"/>
      <c r="K491" s="23"/>
      <c r="L491" s="23"/>
      <c r="M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2"/>
      <c r="J492" s="23"/>
      <c r="K492" s="23"/>
      <c r="L492" s="23"/>
      <c r="M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2"/>
      <c r="J493" s="23"/>
      <c r="K493" s="23"/>
      <c r="L493" s="23"/>
      <c r="M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2"/>
      <c r="J494" s="23"/>
      <c r="K494" s="23"/>
      <c r="L494" s="23"/>
      <c r="M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2"/>
      <c r="J495" s="23"/>
      <c r="K495" s="23"/>
      <c r="L495" s="23"/>
      <c r="M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2"/>
      <c r="J496" s="23"/>
      <c r="K496" s="23"/>
      <c r="L496" s="23"/>
      <c r="M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2"/>
      <c r="J497" s="23"/>
      <c r="K497" s="23"/>
      <c r="L497" s="23"/>
      <c r="M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2"/>
      <c r="J498" s="23"/>
      <c r="K498" s="23"/>
      <c r="L498" s="23"/>
      <c r="M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2"/>
      <c r="J499" s="23"/>
      <c r="K499" s="23"/>
      <c r="L499" s="23"/>
      <c r="M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2"/>
      <c r="J500" s="23"/>
      <c r="K500" s="23"/>
      <c r="L500" s="23"/>
      <c r="M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2"/>
      <c r="J501" s="23"/>
      <c r="K501" s="23"/>
      <c r="L501" s="23"/>
      <c r="M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2"/>
      <c r="J502" s="23"/>
      <c r="K502" s="23"/>
      <c r="L502" s="23"/>
      <c r="M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2"/>
      <c r="J503" s="23"/>
      <c r="K503" s="23"/>
      <c r="L503" s="23"/>
      <c r="M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2"/>
      <c r="J504" s="23"/>
      <c r="K504" s="23"/>
      <c r="L504" s="23"/>
      <c r="M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2"/>
      <c r="J505" s="23"/>
      <c r="K505" s="23"/>
      <c r="L505" s="23"/>
      <c r="M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2"/>
      <c r="J506" s="23"/>
      <c r="K506" s="23"/>
      <c r="L506" s="23"/>
      <c r="M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2"/>
      <c r="J507" s="23"/>
      <c r="K507" s="23"/>
      <c r="L507" s="23"/>
      <c r="M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2"/>
      <c r="J508" s="23"/>
      <c r="K508" s="23"/>
      <c r="L508" s="23"/>
      <c r="M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2"/>
      <c r="J509" s="23"/>
      <c r="K509" s="23"/>
      <c r="L509" s="23"/>
      <c r="M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2"/>
      <c r="J510" s="23"/>
      <c r="K510" s="23"/>
      <c r="L510" s="23"/>
      <c r="M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2"/>
      <c r="J511" s="23"/>
      <c r="K511" s="23"/>
      <c r="L511" s="23"/>
      <c r="M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2"/>
      <c r="J512" s="23"/>
      <c r="K512" s="23"/>
      <c r="L512" s="23"/>
      <c r="M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2"/>
      <c r="J513" s="23"/>
      <c r="K513" s="23"/>
      <c r="L513" s="23"/>
      <c r="M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2"/>
      <c r="J514" s="23"/>
      <c r="K514" s="23"/>
      <c r="L514" s="23"/>
      <c r="M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2"/>
      <c r="J515" s="23"/>
      <c r="K515" s="23"/>
      <c r="L515" s="23"/>
      <c r="M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2"/>
      <c r="J516" s="23"/>
      <c r="K516" s="23"/>
      <c r="L516" s="23"/>
      <c r="M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2"/>
      <c r="J517" s="23"/>
      <c r="K517" s="23"/>
      <c r="L517" s="23"/>
      <c r="M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2"/>
      <c r="J518" s="23"/>
      <c r="K518" s="23"/>
      <c r="L518" s="23"/>
      <c r="M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2"/>
      <c r="J519" s="23"/>
      <c r="K519" s="23"/>
      <c r="L519" s="23"/>
      <c r="M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2"/>
      <c r="J520" s="23"/>
      <c r="K520" s="23"/>
      <c r="L520" s="23"/>
      <c r="M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2"/>
      <c r="J521" s="23"/>
      <c r="K521" s="23"/>
      <c r="L521" s="23"/>
      <c r="M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2"/>
      <c r="J522" s="23"/>
      <c r="K522" s="23"/>
      <c r="L522" s="23"/>
      <c r="M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2"/>
      <c r="J523" s="23"/>
      <c r="K523" s="23"/>
      <c r="L523" s="23"/>
      <c r="M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2"/>
      <c r="J524" s="23"/>
      <c r="K524" s="23"/>
      <c r="L524" s="23"/>
      <c r="M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2"/>
      <c r="J525" s="23"/>
      <c r="K525" s="23"/>
      <c r="L525" s="23"/>
      <c r="M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2"/>
      <c r="J526" s="23"/>
      <c r="K526" s="23"/>
      <c r="L526" s="23"/>
      <c r="M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2"/>
      <c r="J527" s="23"/>
      <c r="K527" s="23"/>
      <c r="L527" s="23"/>
      <c r="M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2"/>
      <c r="J528" s="23"/>
      <c r="K528" s="23"/>
      <c r="L528" s="23"/>
      <c r="M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2"/>
      <c r="J529" s="23"/>
      <c r="K529" s="23"/>
      <c r="L529" s="23"/>
      <c r="M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2"/>
      <c r="J530" s="23"/>
      <c r="K530" s="23"/>
      <c r="L530" s="23"/>
      <c r="M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2"/>
      <c r="J531" s="23"/>
      <c r="K531" s="23"/>
      <c r="L531" s="23"/>
      <c r="M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2"/>
      <c r="J532" s="23"/>
      <c r="K532" s="23"/>
      <c r="L532" s="23"/>
      <c r="M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2"/>
      <c r="J533" s="23"/>
      <c r="K533" s="23"/>
      <c r="L533" s="23"/>
      <c r="M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2"/>
      <c r="J534" s="23"/>
      <c r="K534" s="23"/>
      <c r="L534" s="23"/>
      <c r="M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2"/>
      <c r="J535" s="23"/>
      <c r="K535" s="23"/>
      <c r="L535" s="23"/>
      <c r="M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2"/>
      <c r="J536" s="23"/>
      <c r="K536" s="23"/>
      <c r="L536" s="23"/>
      <c r="M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2"/>
      <c r="J537" s="23"/>
      <c r="K537" s="23"/>
      <c r="L537" s="23"/>
      <c r="M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2"/>
      <c r="J538" s="23"/>
      <c r="K538" s="23"/>
      <c r="L538" s="23"/>
      <c r="M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2"/>
      <c r="J539" s="23"/>
      <c r="K539" s="23"/>
      <c r="L539" s="23"/>
      <c r="M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2"/>
      <c r="J540" s="23"/>
      <c r="K540" s="23"/>
      <c r="L540" s="23"/>
      <c r="M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2"/>
      <c r="J541" s="23"/>
      <c r="K541" s="23"/>
      <c r="L541" s="23"/>
      <c r="M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2"/>
      <c r="J542" s="23"/>
      <c r="K542" s="23"/>
      <c r="L542" s="23"/>
      <c r="M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2"/>
      <c r="J543" s="23"/>
      <c r="K543" s="23"/>
      <c r="L543" s="23"/>
      <c r="M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2"/>
      <c r="J544" s="23"/>
      <c r="K544" s="23"/>
      <c r="L544" s="23"/>
      <c r="M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2"/>
      <c r="J545" s="23"/>
      <c r="K545" s="23"/>
      <c r="L545" s="23"/>
      <c r="M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2"/>
      <c r="J546" s="23"/>
      <c r="K546" s="23"/>
      <c r="L546" s="23"/>
      <c r="M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2"/>
      <c r="J547" s="23"/>
      <c r="K547" s="23"/>
      <c r="L547" s="23"/>
      <c r="M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2"/>
      <c r="J548" s="23"/>
      <c r="K548" s="23"/>
      <c r="L548" s="23"/>
      <c r="M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2"/>
      <c r="J549" s="23"/>
      <c r="K549" s="23"/>
      <c r="L549" s="23"/>
      <c r="M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2"/>
      <c r="J550" s="23"/>
      <c r="K550" s="23"/>
      <c r="L550" s="23"/>
      <c r="M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2"/>
      <c r="J551" s="23"/>
      <c r="K551" s="23"/>
      <c r="L551" s="23"/>
      <c r="M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2"/>
      <c r="J552" s="23"/>
      <c r="K552" s="23"/>
      <c r="L552" s="23"/>
      <c r="M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2"/>
      <c r="J553" s="23"/>
      <c r="K553" s="23"/>
      <c r="L553" s="23"/>
      <c r="M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2"/>
      <c r="J554" s="23"/>
      <c r="K554" s="23"/>
      <c r="L554" s="23"/>
      <c r="M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2"/>
      <c r="J555" s="23"/>
      <c r="K555" s="23"/>
      <c r="L555" s="23"/>
      <c r="M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2"/>
      <c r="J556" s="23"/>
      <c r="K556" s="23"/>
      <c r="L556" s="23"/>
      <c r="M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2"/>
      <c r="J557" s="23"/>
      <c r="K557" s="23"/>
      <c r="L557" s="23"/>
      <c r="M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2"/>
      <c r="J558" s="23"/>
      <c r="K558" s="23"/>
      <c r="L558" s="23"/>
      <c r="M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2"/>
      <c r="J559" s="23"/>
      <c r="K559" s="23"/>
      <c r="L559" s="23"/>
      <c r="M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2"/>
      <c r="J560" s="23"/>
      <c r="K560" s="23"/>
      <c r="L560" s="23"/>
      <c r="M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2"/>
      <c r="J561" s="23"/>
      <c r="K561" s="23"/>
      <c r="L561" s="23"/>
      <c r="M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2"/>
      <c r="J562" s="23"/>
      <c r="K562" s="23"/>
      <c r="L562" s="23"/>
      <c r="M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2"/>
      <c r="J563" s="23"/>
      <c r="K563" s="23"/>
      <c r="L563" s="23"/>
      <c r="M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2"/>
      <c r="J564" s="23"/>
      <c r="K564" s="23"/>
      <c r="L564" s="23"/>
      <c r="M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2"/>
      <c r="J565" s="23"/>
      <c r="K565" s="23"/>
      <c r="L565" s="23"/>
      <c r="M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2"/>
      <c r="J566" s="23"/>
      <c r="K566" s="23"/>
      <c r="L566" s="23"/>
      <c r="M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2"/>
      <c r="J567" s="23"/>
      <c r="K567" s="23"/>
      <c r="L567" s="23"/>
      <c r="M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2"/>
      <c r="J568" s="23"/>
      <c r="K568" s="23"/>
      <c r="L568" s="23"/>
      <c r="M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2"/>
      <c r="J569" s="23"/>
      <c r="K569" s="23"/>
      <c r="L569" s="23"/>
      <c r="M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2"/>
      <c r="J570" s="23"/>
      <c r="K570" s="23"/>
      <c r="L570" s="23"/>
      <c r="M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2"/>
      <c r="J571" s="23"/>
      <c r="K571" s="23"/>
      <c r="L571" s="23"/>
      <c r="M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2"/>
      <c r="J572" s="23"/>
      <c r="K572" s="23"/>
      <c r="L572" s="23"/>
      <c r="M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2"/>
      <c r="J573" s="23"/>
      <c r="K573" s="23"/>
      <c r="L573" s="23"/>
      <c r="M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2"/>
      <c r="J574" s="23"/>
      <c r="K574" s="23"/>
      <c r="L574" s="23"/>
      <c r="M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2"/>
      <c r="J575" s="23"/>
      <c r="K575" s="23"/>
      <c r="L575" s="23"/>
      <c r="M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2"/>
      <c r="J576" s="23"/>
      <c r="K576" s="23"/>
      <c r="L576" s="23"/>
      <c r="M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2"/>
      <c r="J577" s="23"/>
      <c r="K577" s="23"/>
      <c r="L577" s="23"/>
      <c r="M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2"/>
      <c r="J578" s="23"/>
      <c r="K578" s="23"/>
      <c r="L578" s="23"/>
      <c r="M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2"/>
      <c r="J579" s="23"/>
      <c r="K579" s="23"/>
      <c r="L579" s="23"/>
      <c r="M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2"/>
      <c r="J580" s="23"/>
      <c r="K580" s="23"/>
      <c r="L580" s="23"/>
      <c r="M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2"/>
      <c r="J581" s="23"/>
      <c r="K581" s="23"/>
      <c r="L581" s="23"/>
      <c r="M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2"/>
      <c r="J582" s="23"/>
      <c r="K582" s="23"/>
      <c r="L582" s="23"/>
      <c r="M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2"/>
      <c r="J583" s="23"/>
      <c r="K583" s="23"/>
      <c r="L583" s="23"/>
      <c r="M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2"/>
      <c r="J584" s="23"/>
      <c r="K584" s="23"/>
      <c r="L584" s="23"/>
      <c r="M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2"/>
      <c r="J585" s="23"/>
      <c r="K585" s="23"/>
      <c r="L585" s="23"/>
      <c r="M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2"/>
      <c r="J586" s="23"/>
      <c r="K586" s="23"/>
      <c r="L586" s="23"/>
      <c r="M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2"/>
      <c r="J587" s="23"/>
      <c r="K587" s="23"/>
      <c r="L587" s="23"/>
      <c r="M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2"/>
      <c r="J588" s="23"/>
      <c r="K588" s="23"/>
      <c r="L588" s="23"/>
      <c r="M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2"/>
      <c r="J589" s="23"/>
      <c r="K589" s="23"/>
      <c r="L589" s="23"/>
      <c r="M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2"/>
      <c r="J590" s="23"/>
      <c r="K590" s="23"/>
      <c r="L590" s="23"/>
      <c r="M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2"/>
      <c r="J591" s="23"/>
      <c r="K591" s="23"/>
      <c r="L591" s="23"/>
      <c r="M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2"/>
      <c r="J592" s="23"/>
      <c r="K592" s="23"/>
      <c r="L592" s="23"/>
      <c r="M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2"/>
      <c r="J593" s="23"/>
      <c r="K593" s="23"/>
      <c r="L593" s="23"/>
      <c r="M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2"/>
      <c r="J594" s="23"/>
      <c r="K594" s="23"/>
      <c r="L594" s="23"/>
      <c r="M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2"/>
      <c r="J595" s="23"/>
      <c r="K595" s="23"/>
      <c r="L595" s="23"/>
      <c r="M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2"/>
      <c r="J596" s="23"/>
      <c r="K596" s="23"/>
      <c r="L596" s="23"/>
      <c r="M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2"/>
      <c r="J597" s="23"/>
      <c r="K597" s="23"/>
      <c r="L597" s="23"/>
      <c r="M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2"/>
      <c r="J598" s="23"/>
      <c r="K598" s="23"/>
      <c r="L598" s="23"/>
      <c r="M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2"/>
      <c r="J599" s="23"/>
      <c r="K599" s="23"/>
      <c r="L599" s="23"/>
      <c r="M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2"/>
      <c r="J600" s="23"/>
      <c r="K600" s="23"/>
      <c r="L600" s="23"/>
      <c r="M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2"/>
      <c r="J601" s="23"/>
      <c r="K601" s="23"/>
      <c r="L601" s="23"/>
      <c r="M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2"/>
      <c r="J602" s="23"/>
      <c r="K602" s="23"/>
      <c r="L602" s="23"/>
      <c r="M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2"/>
      <c r="J603" s="23"/>
      <c r="K603" s="23"/>
      <c r="L603" s="23"/>
      <c r="M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2"/>
      <c r="J604" s="23"/>
      <c r="K604" s="23"/>
      <c r="L604" s="23"/>
      <c r="M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2"/>
      <c r="J605" s="23"/>
      <c r="K605" s="23"/>
      <c r="L605" s="23"/>
      <c r="M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2"/>
      <c r="J606" s="23"/>
      <c r="K606" s="23"/>
      <c r="L606" s="23"/>
      <c r="M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2"/>
      <c r="J607" s="23"/>
      <c r="K607" s="23"/>
      <c r="L607" s="23"/>
      <c r="M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2"/>
      <c r="J608" s="23"/>
      <c r="K608" s="23"/>
      <c r="L608" s="23"/>
      <c r="M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2"/>
      <c r="J609" s="23"/>
      <c r="K609" s="23"/>
      <c r="L609" s="23"/>
      <c r="M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2"/>
      <c r="J610" s="23"/>
      <c r="K610" s="23"/>
      <c r="L610" s="23"/>
      <c r="M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2"/>
      <c r="J611" s="23"/>
      <c r="K611" s="23"/>
      <c r="L611" s="23"/>
      <c r="M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2"/>
      <c r="J612" s="23"/>
      <c r="K612" s="23"/>
      <c r="L612" s="23"/>
      <c r="M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2"/>
      <c r="J613" s="23"/>
      <c r="K613" s="23"/>
      <c r="L613" s="23"/>
      <c r="M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2"/>
      <c r="J614" s="23"/>
      <c r="K614" s="23"/>
      <c r="L614" s="23"/>
      <c r="M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2"/>
      <c r="J615" s="23"/>
      <c r="K615" s="23"/>
      <c r="L615" s="23"/>
      <c r="M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2"/>
      <c r="J616" s="23"/>
      <c r="K616" s="23"/>
      <c r="L616" s="23"/>
      <c r="M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2"/>
      <c r="J617" s="23"/>
      <c r="K617" s="23"/>
      <c r="L617" s="23"/>
      <c r="M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2"/>
      <c r="J618" s="23"/>
      <c r="K618" s="23"/>
      <c r="L618" s="23"/>
      <c r="M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2"/>
      <c r="J619" s="23"/>
      <c r="K619" s="23"/>
      <c r="L619" s="23"/>
      <c r="M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2"/>
      <c r="J620" s="23"/>
      <c r="K620" s="23"/>
      <c r="L620" s="23"/>
      <c r="M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2"/>
      <c r="J621" s="23"/>
      <c r="K621" s="23"/>
      <c r="L621" s="23"/>
      <c r="M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2"/>
      <c r="J622" s="23"/>
      <c r="K622" s="23"/>
      <c r="L622" s="23"/>
      <c r="M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2"/>
      <c r="J623" s="23"/>
      <c r="K623" s="23"/>
      <c r="L623" s="23"/>
      <c r="M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2"/>
      <c r="J624" s="23"/>
      <c r="K624" s="23"/>
      <c r="L624" s="23"/>
      <c r="M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2"/>
      <c r="J625" s="23"/>
      <c r="K625" s="23"/>
      <c r="L625" s="23"/>
      <c r="M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2"/>
      <c r="J626" s="23"/>
      <c r="K626" s="23"/>
      <c r="L626" s="23"/>
      <c r="M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2"/>
      <c r="J627" s="23"/>
      <c r="K627" s="23"/>
      <c r="L627" s="23"/>
      <c r="M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2"/>
      <c r="J628" s="23"/>
      <c r="K628" s="23"/>
      <c r="L628" s="23"/>
      <c r="M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2"/>
      <c r="J629" s="23"/>
      <c r="K629" s="23"/>
      <c r="L629" s="23"/>
      <c r="M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2"/>
      <c r="J630" s="23"/>
      <c r="K630" s="23"/>
      <c r="L630" s="23"/>
      <c r="M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2"/>
      <c r="J631" s="23"/>
      <c r="K631" s="23"/>
      <c r="L631" s="23"/>
      <c r="M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2"/>
      <c r="J632" s="23"/>
      <c r="K632" s="23"/>
      <c r="L632" s="23"/>
      <c r="M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2"/>
      <c r="J633" s="23"/>
      <c r="K633" s="23"/>
      <c r="L633" s="23"/>
      <c r="M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2"/>
      <c r="J634" s="23"/>
      <c r="K634" s="23"/>
      <c r="L634" s="23"/>
      <c r="M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2"/>
      <c r="J635" s="23"/>
      <c r="K635" s="23"/>
      <c r="L635" s="23"/>
      <c r="M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2"/>
      <c r="J636" s="23"/>
      <c r="K636" s="23"/>
      <c r="L636" s="23"/>
      <c r="M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2"/>
      <c r="J637" s="23"/>
      <c r="K637" s="23"/>
      <c r="L637" s="23"/>
      <c r="M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2"/>
      <c r="J638" s="23"/>
      <c r="K638" s="23"/>
      <c r="L638" s="23"/>
      <c r="M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2"/>
      <c r="J639" s="23"/>
      <c r="K639" s="23"/>
      <c r="L639" s="23"/>
      <c r="M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2"/>
      <c r="J640" s="23"/>
      <c r="K640" s="23"/>
      <c r="L640" s="23"/>
      <c r="M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2"/>
      <c r="J641" s="23"/>
      <c r="K641" s="23"/>
      <c r="L641" s="23"/>
      <c r="M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2"/>
      <c r="J642" s="23"/>
      <c r="K642" s="23"/>
      <c r="L642" s="23"/>
      <c r="M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2"/>
      <c r="J643" s="23"/>
      <c r="K643" s="23"/>
      <c r="L643" s="23"/>
      <c r="M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2"/>
      <c r="J644" s="23"/>
      <c r="K644" s="23"/>
      <c r="L644" s="23"/>
      <c r="M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2"/>
      <c r="J645" s="23"/>
      <c r="K645" s="23"/>
      <c r="L645" s="23"/>
      <c r="M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2"/>
      <c r="J646" s="23"/>
      <c r="K646" s="23"/>
      <c r="L646" s="23"/>
      <c r="M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2"/>
      <c r="J647" s="23"/>
      <c r="K647" s="23"/>
      <c r="L647" s="23"/>
      <c r="M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2"/>
      <c r="J648" s="23"/>
      <c r="K648" s="23"/>
      <c r="L648" s="23"/>
      <c r="M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2"/>
      <c r="J649" s="23"/>
      <c r="K649" s="23"/>
      <c r="L649" s="23"/>
      <c r="M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2"/>
      <c r="J650" s="23"/>
      <c r="K650" s="23"/>
      <c r="L650" s="23"/>
      <c r="M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2"/>
      <c r="J651" s="23"/>
      <c r="K651" s="23"/>
      <c r="L651" s="23"/>
      <c r="M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2"/>
      <c r="J652" s="23"/>
      <c r="K652" s="23"/>
      <c r="L652" s="23"/>
      <c r="M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2"/>
      <c r="J653" s="23"/>
      <c r="K653" s="23"/>
      <c r="L653" s="23"/>
      <c r="M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2"/>
      <c r="J654" s="23"/>
      <c r="K654" s="23"/>
      <c r="L654" s="23"/>
      <c r="M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2"/>
      <c r="J655" s="23"/>
      <c r="K655" s="23"/>
      <c r="L655" s="23"/>
      <c r="M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2"/>
      <c r="J656" s="23"/>
      <c r="K656" s="23"/>
      <c r="L656" s="23"/>
      <c r="M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2"/>
      <c r="J657" s="23"/>
      <c r="K657" s="23"/>
      <c r="L657" s="23"/>
      <c r="M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2"/>
      <c r="J658" s="23"/>
      <c r="K658" s="23"/>
      <c r="L658" s="23"/>
      <c r="M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2"/>
      <c r="J659" s="23"/>
      <c r="K659" s="23"/>
      <c r="L659" s="23"/>
      <c r="M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2"/>
      <c r="J660" s="23"/>
      <c r="K660" s="23"/>
      <c r="L660" s="23"/>
      <c r="M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2"/>
      <c r="J661" s="23"/>
      <c r="K661" s="23"/>
      <c r="L661" s="23"/>
      <c r="M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2"/>
      <c r="J662" s="23"/>
      <c r="K662" s="23"/>
      <c r="L662" s="23"/>
      <c r="M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2"/>
      <c r="J663" s="23"/>
      <c r="K663" s="23"/>
      <c r="L663" s="23"/>
      <c r="M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2"/>
      <c r="J664" s="23"/>
      <c r="K664" s="23"/>
      <c r="L664" s="23"/>
      <c r="M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2"/>
      <c r="J665" s="23"/>
      <c r="K665" s="23"/>
      <c r="L665" s="23"/>
      <c r="M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2"/>
      <c r="J666" s="23"/>
      <c r="K666" s="23"/>
      <c r="L666" s="23"/>
      <c r="M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2"/>
      <c r="J667" s="23"/>
      <c r="K667" s="23"/>
      <c r="L667" s="23"/>
      <c r="M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2"/>
      <c r="J668" s="23"/>
      <c r="K668" s="23"/>
      <c r="L668" s="23"/>
      <c r="M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2"/>
      <c r="J669" s="23"/>
      <c r="K669" s="23"/>
      <c r="L669" s="23"/>
      <c r="M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2"/>
      <c r="J670" s="23"/>
      <c r="K670" s="23"/>
      <c r="L670" s="23"/>
      <c r="M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2"/>
      <c r="J671" s="23"/>
      <c r="K671" s="23"/>
      <c r="L671" s="23"/>
      <c r="M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2"/>
      <c r="J672" s="23"/>
      <c r="K672" s="23"/>
      <c r="L672" s="23"/>
      <c r="M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2"/>
      <c r="J673" s="23"/>
      <c r="K673" s="23"/>
      <c r="L673" s="23"/>
      <c r="M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2"/>
      <c r="J674" s="23"/>
      <c r="K674" s="23"/>
      <c r="L674" s="23"/>
      <c r="M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2"/>
      <c r="J675" s="23"/>
      <c r="K675" s="23"/>
      <c r="L675" s="23"/>
      <c r="M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2"/>
      <c r="J676" s="23"/>
      <c r="K676" s="23"/>
      <c r="L676" s="23"/>
      <c r="M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2"/>
      <c r="J677" s="23"/>
      <c r="K677" s="23"/>
      <c r="L677" s="23"/>
      <c r="M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2"/>
      <c r="J678" s="23"/>
      <c r="K678" s="23"/>
      <c r="L678" s="23"/>
      <c r="M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2"/>
      <c r="J679" s="23"/>
      <c r="K679" s="23"/>
      <c r="L679" s="23"/>
      <c r="M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2"/>
      <c r="J680" s="23"/>
      <c r="K680" s="23"/>
      <c r="L680" s="23"/>
      <c r="M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2"/>
      <c r="J681" s="23"/>
      <c r="K681" s="23"/>
      <c r="L681" s="23"/>
      <c r="M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2"/>
      <c r="J682" s="23"/>
      <c r="K682" s="23"/>
      <c r="L682" s="23"/>
      <c r="M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2"/>
      <c r="J683" s="23"/>
      <c r="K683" s="23"/>
      <c r="L683" s="23"/>
      <c r="M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2"/>
      <c r="J684" s="23"/>
      <c r="K684" s="23"/>
      <c r="L684" s="23"/>
      <c r="M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2"/>
      <c r="J685" s="23"/>
      <c r="K685" s="23"/>
      <c r="L685" s="23"/>
      <c r="M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2"/>
      <c r="J686" s="23"/>
      <c r="K686" s="23"/>
      <c r="L686" s="23"/>
      <c r="M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2"/>
      <c r="J687" s="23"/>
      <c r="K687" s="23"/>
      <c r="L687" s="23"/>
      <c r="M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2"/>
      <c r="J688" s="23"/>
      <c r="K688" s="23"/>
      <c r="L688" s="23"/>
      <c r="M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2"/>
      <c r="J689" s="23"/>
      <c r="K689" s="23"/>
      <c r="L689" s="23"/>
      <c r="M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2"/>
      <c r="J690" s="23"/>
      <c r="K690" s="23"/>
      <c r="L690" s="23"/>
      <c r="M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2"/>
      <c r="J691" s="23"/>
      <c r="K691" s="23"/>
      <c r="L691" s="23"/>
      <c r="M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2"/>
      <c r="J692" s="23"/>
      <c r="K692" s="23"/>
      <c r="L692" s="23"/>
      <c r="M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2"/>
      <c r="J693" s="23"/>
      <c r="K693" s="23"/>
      <c r="L693" s="23"/>
      <c r="M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2"/>
      <c r="J694" s="23"/>
      <c r="K694" s="23"/>
      <c r="L694" s="23"/>
      <c r="M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2"/>
      <c r="J695" s="23"/>
      <c r="K695" s="23"/>
      <c r="L695" s="23"/>
      <c r="M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2"/>
      <c r="J696" s="23"/>
      <c r="K696" s="23"/>
      <c r="L696" s="23"/>
      <c r="M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2"/>
      <c r="J697" s="23"/>
      <c r="K697" s="23"/>
      <c r="L697" s="23"/>
      <c r="M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2"/>
      <c r="J698" s="23"/>
      <c r="K698" s="23"/>
      <c r="L698" s="23"/>
      <c r="M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2"/>
      <c r="J699" s="23"/>
      <c r="K699" s="23"/>
      <c r="L699" s="23"/>
      <c r="M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2"/>
      <c r="J700" s="23"/>
      <c r="K700" s="23"/>
      <c r="L700" s="23"/>
      <c r="M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2"/>
      <c r="J701" s="23"/>
      <c r="K701" s="23"/>
      <c r="L701" s="23"/>
      <c r="M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2"/>
      <c r="J702" s="23"/>
      <c r="K702" s="23"/>
      <c r="L702" s="23"/>
      <c r="M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2"/>
      <c r="J703" s="23"/>
      <c r="K703" s="23"/>
      <c r="L703" s="23"/>
      <c r="M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2"/>
      <c r="J704" s="23"/>
      <c r="K704" s="23"/>
      <c r="L704" s="23"/>
      <c r="M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2"/>
      <c r="J705" s="23"/>
      <c r="K705" s="23"/>
      <c r="L705" s="23"/>
      <c r="M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2"/>
      <c r="J706" s="23"/>
      <c r="K706" s="23"/>
      <c r="L706" s="23"/>
      <c r="M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2"/>
      <c r="J707" s="23"/>
      <c r="K707" s="23"/>
      <c r="L707" s="23"/>
      <c r="M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2"/>
      <c r="J708" s="23"/>
      <c r="K708" s="23"/>
      <c r="L708" s="23"/>
      <c r="M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2"/>
      <c r="J709" s="23"/>
      <c r="K709" s="23"/>
      <c r="L709" s="23"/>
      <c r="M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2"/>
      <c r="J710" s="23"/>
      <c r="K710" s="23"/>
      <c r="L710" s="23"/>
      <c r="M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2"/>
      <c r="J711" s="23"/>
      <c r="K711" s="23"/>
      <c r="L711" s="23"/>
      <c r="M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2"/>
      <c r="J712" s="23"/>
      <c r="K712" s="23"/>
      <c r="L712" s="23"/>
      <c r="M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2"/>
      <c r="J713" s="23"/>
      <c r="K713" s="23"/>
      <c r="L713" s="23"/>
      <c r="M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2"/>
      <c r="J714" s="23"/>
      <c r="K714" s="23"/>
      <c r="L714" s="23"/>
      <c r="M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2"/>
      <c r="J715" s="23"/>
      <c r="K715" s="23"/>
      <c r="L715" s="23"/>
      <c r="M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2"/>
      <c r="J716" s="23"/>
      <c r="K716" s="23"/>
      <c r="L716" s="23"/>
      <c r="M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2"/>
      <c r="J717" s="23"/>
      <c r="K717" s="23"/>
      <c r="L717" s="23"/>
      <c r="M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2"/>
      <c r="J718" s="23"/>
      <c r="K718" s="23"/>
      <c r="L718" s="23"/>
      <c r="M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2"/>
      <c r="J719" s="23"/>
      <c r="K719" s="23"/>
      <c r="L719" s="23"/>
      <c r="M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2"/>
      <c r="J720" s="23"/>
      <c r="K720" s="23"/>
      <c r="L720" s="23"/>
      <c r="M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2"/>
      <c r="J721" s="23"/>
      <c r="K721" s="23"/>
      <c r="L721" s="23"/>
      <c r="M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2"/>
      <c r="J722" s="23"/>
      <c r="K722" s="23"/>
      <c r="L722" s="23"/>
      <c r="M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2"/>
      <c r="J723" s="23"/>
      <c r="K723" s="23"/>
      <c r="L723" s="23"/>
      <c r="M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2"/>
      <c r="J724" s="23"/>
      <c r="K724" s="23"/>
      <c r="L724" s="23"/>
      <c r="M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2"/>
      <c r="J725" s="23"/>
      <c r="K725" s="23"/>
      <c r="L725" s="23"/>
      <c r="M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2"/>
      <c r="J726" s="23"/>
      <c r="K726" s="23"/>
      <c r="L726" s="23"/>
      <c r="M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2"/>
      <c r="J727" s="23"/>
      <c r="K727" s="23"/>
      <c r="L727" s="23"/>
      <c r="M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2"/>
      <c r="J728" s="23"/>
      <c r="K728" s="23"/>
      <c r="L728" s="23"/>
      <c r="M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2"/>
      <c r="J729" s="23"/>
      <c r="K729" s="23"/>
      <c r="L729" s="23"/>
      <c r="M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2"/>
      <c r="J730" s="23"/>
      <c r="K730" s="23"/>
      <c r="L730" s="23"/>
      <c r="M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2"/>
      <c r="J731" s="23"/>
      <c r="K731" s="23"/>
      <c r="L731" s="23"/>
      <c r="M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2"/>
      <c r="J732" s="23"/>
      <c r="K732" s="23"/>
      <c r="L732" s="23"/>
      <c r="M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2"/>
      <c r="J733" s="23"/>
      <c r="K733" s="23"/>
      <c r="L733" s="23"/>
      <c r="M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2"/>
      <c r="J734" s="23"/>
      <c r="K734" s="23"/>
      <c r="L734" s="23"/>
      <c r="M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2"/>
      <c r="J735" s="23"/>
      <c r="K735" s="23"/>
      <c r="L735" s="23"/>
      <c r="M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2"/>
      <c r="J736" s="23"/>
      <c r="K736" s="23"/>
      <c r="L736" s="23"/>
      <c r="M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2"/>
      <c r="J737" s="23"/>
      <c r="K737" s="23"/>
      <c r="L737" s="23"/>
      <c r="M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2"/>
      <c r="J738" s="23"/>
      <c r="K738" s="23"/>
      <c r="L738" s="23"/>
      <c r="M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2"/>
      <c r="J739" s="23"/>
      <c r="K739" s="23"/>
      <c r="L739" s="23"/>
      <c r="M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2"/>
      <c r="J740" s="23"/>
      <c r="K740" s="23"/>
      <c r="L740" s="23"/>
      <c r="M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2"/>
      <c r="J741" s="23"/>
      <c r="K741" s="23"/>
      <c r="L741" s="23"/>
      <c r="M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2"/>
      <c r="J742" s="23"/>
      <c r="K742" s="23"/>
      <c r="L742" s="23"/>
      <c r="M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2"/>
      <c r="J743" s="23"/>
      <c r="K743" s="23"/>
      <c r="L743" s="23"/>
      <c r="M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2"/>
      <c r="J744" s="23"/>
      <c r="K744" s="23"/>
      <c r="L744" s="23"/>
      <c r="M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2"/>
      <c r="J745" s="23"/>
      <c r="K745" s="23"/>
      <c r="L745" s="23"/>
      <c r="M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2"/>
      <c r="J746" s="23"/>
      <c r="K746" s="23"/>
      <c r="L746" s="23"/>
      <c r="M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2"/>
      <c r="J747" s="23"/>
      <c r="K747" s="23"/>
      <c r="L747" s="23"/>
      <c r="M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2"/>
      <c r="J748" s="23"/>
      <c r="K748" s="23"/>
      <c r="L748" s="23"/>
      <c r="M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2"/>
      <c r="J749" s="23"/>
      <c r="K749" s="23"/>
      <c r="L749" s="23"/>
      <c r="M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2"/>
      <c r="J750" s="23"/>
      <c r="K750" s="23"/>
      <c r="L750" s="23"/>
      <c r="M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2"/>
      <c r="J751" s="23"/>
      <c r="K751" s="23"/>
      <c r="L751" s="23"/>
      <c r="M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2"/>
      <c r="J752" s="23"/>
      <c r="K752" s="23"/>
      <c r="L752" s="23"/>
      <c r="M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2"/>
      <c r="J753" s="23"/>
      <c r="K753" s="23"/>
      <c r="L753" s="23"/>
      <c r="M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2"/>
      <c r="J754" s="23"/>
      <c r="K754" s="23"/>
      <c r="L754" s="23"/>
      <c r="M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2"/>
      <c r="J755" s="23"/>
      <c r="K755" s="23"/>
      <c r="L755" s="23"/>
      <c r="M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2"/>
      <c r="J756" s="23"/>
      <c r="K756" s="23"/>
      <c r="L756" s="23"/>
      <c r="M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2"/>
      <c r="J757" s="23"/>
      <c r="K757" s="23"/>
      <c r="L757" s="23"/>
      <c r="M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2"/>
      <c r="J758" s="23"/>
      <c r="K758" s="23"/>
      <c r="L758" s="23"/>
      <c r="M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2"/>
      <c r="J759" s="23"/>
      <c r="K759" s="23"/>
      <c r="L759" s="23"/>
      <c r="M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2"/>
      <c r="J760" s="23"/>
      <c r="K760" s="23"/>
      <c r="L760" s="23"/>
      <c r="M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2"/>
      <c r="J761" s="23"/>
      <c r="K761" s="23"/>
      <c r="L761" s="23"/>
      <c r="M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2"/>
      <c r="J762" s="23"/>
      <c r="K762" s="23"/>
      <c r="L762" s="23"/>
      <c r="M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2"/>
      <c r="J763" s="23"/>
      <c r="K763" s="23"/>
      <c r="L763" s="23"/>
      <c r="M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2"/>
      <c r="J764" s="23"/>
      <c r="K764" s="23"/>
      <c r="L764" s="23"/>
      <c r="M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2"/>
      <c r="J765" s="23"/>
      <c r="K765" s="23"/>
      <c r="L765" s="23"/>
      <c r="M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2"/>
      <c r="J766" s="23"/>
      <c r="K766" s="23"/>
      <c r="L766" s="23"/>
      <c r="M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2"/>
      <c r="J767" s="23"/>
      <c r="K767" s="23"/>
      <c r="L767" s="23"/>
      <c r="M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2"/>
      <c r="J768" s="23"/>
      <c r="K768" s="23"/>
      <c r="L768" s="23"/>
      <c r="M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2"/>
      <c r="J769" s="23"/>
      <c r="K769" s="23"/>
      <c r="L769" s="23"/>
      <c r="M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2"/>
      <c r="J770" s="23"/>
      <c r="K770" s="23"/>
      <c r="L770" s="23"/>
      <c r="M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2"/>
      <c r="J771" s="23"/>
      <c r="K771" s="23"/>
      <c r="L771" s="23"/>
      <c r="M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2"/>
      <c r="J772" s="23"/>
      <c r="K772" s="23"/>
      <c r="L772" s="23"/>
      <c r="M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2"/>
      <c r="J773" s="23"/>
      <c r="K773" s="23"/>
      <c r="L773" s="23"/>
      <c r="M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2"/>
      <c r="J774" s="23"/>
      <c r="K774" s="23"/>
      <c r="L774" s="23"/>
      <c r="M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2"/>
      <c r="J775" s="23"/>
      <c r="K775" s="23"/>
      <c r="L775" s="23"/>
      <c r="M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2"/>
      <c r="J776" s="23"/>
      <c r="K776" s="23"/>
      <c r="L776" s="23"/>
      <c r="M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2"/>
      <c r="J777" s="23"/>
      <c r="K777" s="23"/>
      <c r="L777" s="23"/>
      <c r="M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2"/>
      <c r="J778" s="23"/>
      <c r="K778" s="23"/>
      <c r="L778" s="23"/>
      <c r="M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2"/>
      <c r="J779" s="23"/>
      <c r="K779" s="23"/>
      <c r="L779" s="23"/>
      <c r="M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2"/>
      <c r="J780" s="23"/>
      <c r="K780" s="23"/>
      <c r="L780" s="23"/>
      <c r="M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2"/>
      <c r="J781" s="23"/>
      <c r="K781" s="23"/>
      <c r="L781" s="23"/>
      <c r="M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2"/>
      <c r="J782" s="23"/>
      <c r="K782" s="23"/>
      <c r="L782" s="23"/>
      <c r="M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2"/>
      <c r="J783" s="23"/>
      <c r="K783" s="23"/>
      <c r="L783" s="23"/>
      <c r="M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2"/>
      <c r="J784" s="23"/>
      <c r="K784" s="23"/>
      <c r="L784" s="23"/>
      <c r="M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2"/>
      <c r="J785" s="23"/>
      <c r="K785" s="23"/>
      <c r="L785" s="23"/>
      <c r="M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2"/>
      <c r="J786" s="23"/>
      <c r="K786" s="23"/>
      <c r="L786" s="23"/>
      <c r="M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2"/>
      <c r="J787" s="23"/>
      <c r="K787" s="23"/>
      <c r="L787" s="23"/>
      <c r="M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2"/>
      <c r="J788" s="23"/>
      <c r="K788" s="23"/>
      <c r="L788" s="23"/>
      <c r="M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2"/>
      <c r="J789" s="23"/>
      <c r="K789" s="23"/>
      <c r="L789" s="23"/>
      <c r="M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2"/>
      <c r="J790" s="23"/>
      <c r="K790" s="23"/>
      <c r="L790" s="23"/>
      <c r="M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2"/>
      <c r="J791" s="23"/>
      <c r="K791" s="23"/>
      <c r="L791" s="23"/>
      <c r="M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2"/>
      <c r="J792" s="23"/>
      <c r="K792" s="23"/>
      <c r="L792" s="23"/>
      <c r="M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2"/>
      <c r="J793" s="23"/>
      <c r="K793" s="23"/>
      <c r="L793" s="23"/>
      <c r="M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2"/>
      <c r="J794" s="23"/>
      <c r="K794" s="23"/>
      <c r="L794" s="23"/>
      <c r="M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2"/>
      <c r="J795" s="23"/>
      <c r="K795" s="23"/>
      <c r="L795" s="23"/>
      <c r="M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2"/>
      <c r="J796" s="23"/>
      <c r="K796" s="23"/>
      <c r="L796" s="23"/>
      <c r="M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2"/>
      <c r="J797" s="23"/>
      <c r="K797" s="23"/>
      <c r="L797" s="23"/>
      <c r="M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2"/>
      <c r="J798" s="23"/>
      <c r="K798" s="23"/>
      <c r="L798" s="23"/>
      <c r="M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2"/>
      <c r="J799" s="23"/>
      <c r="K799" s="23"/>
      <c r="L799" s="23"/>
      <c r="M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2"/>
      <c r="J800" s="23"/>
      <c r="K800" s="23"/>
      <c r="L800" s="23"/>
      <c r="M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2"/>
      <c r="J801" s="23"/>
      <c r="K801" s="23"/>
      <c r="L801" s="23"/>
      <c r="M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2"/>
      <c r="J802" s="23"/>
      <c r="K802" s="23"/>
      <c r="L802" s="23"/>
      <c r="M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2"/>
      <c r="J803" s="23"/>
      <c r="K803" s="23"/>
      <c r="L803" s="23"/>
      <c r="M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2"/>
      <c r="J804" s="23"/>
      <c r="K804" s="23"/>
      <c r="L804" s="23"/>
      <c r="M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2"/>
      <c r="J805" s="23"/>
      <c r="K805" s="23"/>
      <c r="L805" s="23"/>
      <c r="M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2"/>
      <c r="J806" s="23"/>
      <c r="K806" s="23"/>
      <c r="L806" s="23"/>
      <c r="M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2"/>
      <c r="J807" s="23"/>
      <c r="K807" s="23"/>
      <c r="L807" s="23"/>
      <c r="M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2"/>
      <c r="J808" s="23"/>
      <c r="K808" s="23"/>
      <c r="L808" s="23"/>
      <c r="M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2"/>
      <c r="J809" s="23"/>
      <c r="K809" s="23"/>
      <c r="L809" s="23"/>
      <c r="M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2"/>
      <c r="J810" s="23"/>
      <c r="K810" s="23"/>
      <c r="L810" s="23"/>
      <c r="M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2"/>
      <c r="J811" s="23"/>
      <c r="K811" s="23"/>
      <c r="L811" s="23"/>
      <c r="M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2"/>
      <c r="J812" s="23"/>
      <c r="K812" s="23"/>
      <c r="L812" s="23"/>
      <c r="M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2"/>
      <c r="J813" s="23"/>
      <c r="K813" s="23"/>
      <c r="L813" s="23"/>
      <c r="M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2"/>
      <c r="J814" s="23"/>
      <c r="K814" s="23"/>
      <c r="L814" s="23"/>
      <c r="M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2"/>
      <c r="J815" s="23"/>
      <c r="K815" s="23"/>
      <c r="L815" s="23"/>
      <c r="M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2"/>
      <c r="J816" s="23"/>
      <c r="K816" s="23"/>
      <c r="L816" s="23"/>
      <c r="M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2"/>
      <c r="J817" s="23"/>
      <c r="K817" s="23"/>
      <c r="L817" s="23"/>
      <c r="M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2"/>
      <c r="J818" s="23"/>
      <c r="K818" s="23"/>
      <c r="L818" s="23"/>
      <c r="M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2"/>
      <c r="J819" s="23"/>
      <c r="K819" s="23"/>
      <c r="L819" s="23"/>
      <c r="M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2"/>
      <c r="J820" s="23"/>
      <c r="K820" s="23"/>
      <c r="L820" s="23"/>
      <c r="M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2"/>
      <c r="J821" s="23"/>
      <c r="K821" s="23"/>
      <c r="L821" s="23"/>
      <c r="M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2"/>
      <c r="J822" s="23"/>
      <c r="K822" s="23"/>
      <c r="L822" s="23"/>
      <c r="M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2"/>
      <c r="J823" s="23"/>
      <c r="K823" s="23"/>
      <c r="L823" s="23"/>
      <c r="M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2"/>
      <c r="J824" s="23"/>
      <c r="K824" s="23"/>
      <c r="L824" s="23"/>
      <c r="M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2"/>
      <c r="J825" s="23"/>
      <c r="K825" s="23"/>
      <c r="L825" s="23"/>
      <c r="M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2"/>
      <c r="J826" s="23"/>
      <c r="K826" s="23"/>
      <c r="L826" s="23"/>
      <c r="M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2"/>
      <c r="J827" s="23"/>
      <c r="K827" s="23"/>
      <c r="L827" s="23"/>
      <c r="M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2"/>
      <c r="J828" s="23"/>
      <c r="K828" s="23"/>
      <c r="L828" s="23"/>
      <c r="M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2"/>
      <c r="J829" s="23"/>
      <c r="K829" s="23"/>
      <c r="L829" s="23"/>
      <c r="M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2"/>
      <c r="J830" s="23"/>
      <c r="K830" s="23"/>
      <c r="L830" s="23"/>
      <c r="M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2"/>
      <c r="J831" s="23"/>
      <c r="K831" s="23"/>
      <c r="L831" s="23"/>
      <c r="M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2"/>
      <c r="J832" s="23"/>
      <c r="K832" s="23"/>
      <c r="L832" s="23"/>
      <c r="M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2"/>
      <c r="J833" s="23"/>
      <c r="K833" s="23"/>
      <c r="L833" s="23"/>
      <c r="M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2"/>
      <c r="J834" s="23"/>
      <c r="K834" s="23"/>
      <c r="L834" s="23"/>
      <c r="M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2"/>
      <c r="J835" s="23"/>
      <c r="K835" s="23"/>
      <c r="L835" s="23"/>
      <c r="M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2"/>
      <c r="J836" s="23"/>
      <c r="K836" s="23"/>
      <c r="L836" s="23"/>
      <c r="M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2"/>
      <c r="J837" s="23"/>
      <c r="K837" s="23"/>
      <c r="L837" s="23"/>
      <c r="M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2"/>
      <c r="J838" s="23"/>
      <c r="K838" s="23"/>
      <c r="L838" s="23"/>
      <c r="M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2"/>
      <c r="J839" s="23"/>
      <c r="K839" s="23"/>
      <c r="L839" s="23"/>
      <c r="M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2"/>
      <c r="J840" s="23"/>
      <c r="K840" s="23"/>
      <c r="L840" s="23"/>
      <c r="M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2"/>
      <c r="J841" s="23"/>
      <c r="K841" s="23"/>
      <c r="L841" s="23"/>
      <c r="M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2"/>
      <c r="J842" s="23"/>
      <c r="K842" s="23"/>
      <c r="L842" s="23"/>
      <c r="M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2"/>
      <c r="J843" s="23"/>
      <c r="K843" s="23"/>
      <c r="L843" s="23"/>
      <c r="M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2"/>
      <c r="J844" s="23"/>
      <c r="K844" s="23"/>
      <c r="L844" s="23"/>
      <c r="M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2"/>
      <c r="J845" s="23"/>
      <c r="K845" s="23"/>
      <c r="L845" s="23"/>
      <c r="M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2"/>
      <c r="J846" s="23"/>
      <c r="K846" s="23"/>
      <c r="L846" s="23"/>
      <c r="M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2"/>
      <c r="J847" s="23"/>
      <c r="K847" s="23"/>
      <c r="L847" s="23"/>
      <c r="M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2"/>
      <c r="J848" s="23"/>
      <c r="K848" s="23"/>
      <c r="L848" s="23"/>
      <c r="M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2"/>
      <c r="J849" s="23"/>
      <c r="K849" s="23"/>
      <c r="L849" s="23"/>
      <c r="M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2"/>
      <c r="J850" s="23"/>
      <c r="K850" s="23"/>
      <c r="L850" s="23"/>
      <c r="M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2"/>
      <c r="J851" s="23"/>
      <c r="K851" s="23"/>
      <c r="L851" s="23"/>
      <c r="M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2"/>
      <c r="J852" s="23"/>
      <c r="K852" s="23"/>
      <c r="L852" s="23"/>
      <c r="M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2"/>
      <c r="J853" s="23"/>
      <c r="K853" s="23"/>
      <c r="L853" s="23"/>
      <c r="M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2"/>
      <c r="J854" s="23"/>
      <c r="K854" s="23"/>
      <c r="L854" s="23"/>
      <c r="M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2"/>
      <c r="J855" s="23"/>
      <c r="K855" s="23"/>
      <c r="L855" s="23"/>
      <c r="M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2"/>
      <c r="J856" s="23"/>
      <c r="K856" s="23"/>
      <c r="L856" s="23"/>
      <c r="M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2"/>
      <c r="J857" s="23"/>
      <c r="K857" s="23"/>
      <c r="L857" s="23"/>
      <c r="M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2"/>
      <c r="J858" s="23"/>
      <c r="K858" s="23"/>
      <c r="L858" s="23"/>
      <c r="M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2"/>
      <c r="J859" s="23"/>
      <c r="K859" s="23"/>
      <c r="L859" s="23"/>
      <c r="M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2"/>
      <c r="J860" s="23"/>
      <c r="K860" s="23"/>
      <c r="L860" s="23"/>
      <c r="M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2"/>
      <c r="J861" s="23"/>
      <c r="K861" s="23"/>
      <c r="L861" s="23"/>
      <c r="M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2"/>
      <c r="J862" s="23"/>
      <c r="K862" s="23"/>
      <c r="L862" s="23"/>
      <c r="M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2"/>
      <c r="J863" s="23"/>
      <c r="K863" s="23"/>
      <c r="L863" s="23"/>
      <c r="M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2"/>
      <c r="J864" s="23"/>
      <c r="K864" s="23"/>
      <c r="L864" s="23"/>
      <c r="M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2"/>
      <c r="J865" s="23"/>
      <c r="K865" s="23"/>
      <c r="L865" s="23"/>
      <c r="M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2"/>
      <c r="J866" s="23"/>
      <c r="K866" s="23"/>
      <c r="L866" s="23"/>
      <c r="M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2"/>
      <c r="J867" s="23"/>
      <c r="K867" s="23"/>
      <c r="L867" s="23"/>
      <c r="M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2"/>
      <c r="J868" s="23"/>
      <c r="K868" s="23"/>
      <c r="L868" s="23"/>
      <c r="M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2"/>
      <c r="J869" s="23"/>
      <c r="K869" s="23"/>
      <c r="L869" s="23"/>
      <c r="M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2"/>
      <c r="J870" s="23"/>
      <c r="K870" s="23"/>
      <c r="L870" s="23"/>
      <c r="M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2"/>
      <c r="J871" s="23"/>
      <c r="K871" s="23"/>
      <c r="L871" s="23"/>
      <c r="M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2"/>
      <c r="J872" s="23"/>
      <c r="K872" s="23"/>
      <c r="L872" s="23"/>
      <c r="M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2"/>
      <c r="J873" s="23"/>
      <c r="K873" s="23"/>
      <c r="L873" s="23"/>
      <c r="M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2"/>
      <c r="J874" s="23"/>
      <c r="K874" s="23"/>
      <c r="L874" s="23"/>
      <c r="M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2"/>
      <c r="J875" s="23"/>
      <c r="K875" s="23"/>
      <c r="L875" s="23"/>
      <c r="M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2"/>
      <c r="J876" s="23"/>
      <c r="K876" s="23"/>
      <c r="L876" s="23"/>
      <c r="M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2"/>
      <c r="J877" s="23"/>
      <c r="K877" s="23"/>
      <c r="L877" s="23"/>
      <c r="M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2"/>
      <c r="J878" s="23"/>
      <c r="K878" s="23"/>
      <c r="L878" s="23"/>
      <c r="M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2"/>
      <c r="J879" s="23"/>
      <c r="K879" s="23"/>
      <c r="L879" s="23"/>
      <c r="M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2"/>
      <c r="J880" s="23"/>
      <c r="K880" s="23"/>
      <c r="L880" s="23"/>
      <c r="M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2"/>
      <c r="J881" s="23"/>
      <c r="K881" s="23"/>
      <c r="L881" s="23"/>
      <c r="M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2"/>
      <c r="J882" s="23"/>
      <c r="K882" s="23"/>
      <c r="L882" s="23"/>
      <c r="M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2"/>
      <c r="J883" s="23"/>
      <c r="K883" s="23"/>
      <c r="L883" s="23"/>
      <c r="M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2"/>
      <c r="J884" s="23"/>
      <c r="K884" s="23"/>
      <c r="L884" s="23"/>
      <c r="M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2"/>
      <c r="J885" s="23"/>
      <c r="K885" s="23"/>
      <c r="L885" s="23"/>
      <c r="M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2"/>
      <c r="J886" s="23"/>
      <c r="K886" s="23"/>
      <c r="L886" s="23"/>
      <c r="M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2"/>
      <c r="J887" s="23"/>
      <c r="K887" s="23"/>
      <c r="L887" s="23"/>
      <c r="M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2"/>
      <c r="J888" s="23"/>
      <c r="K888" s="23"/>
      <c r="L888" s="23"/>
      <c r="M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2"/>
      <c r="J889" s="23"/>
      <c r="K889" s="23"/>
      <c r="L889" s="23"/>
      <c r="M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2"/>
      <c r="J890" s="23"/>
      <c r="K890" s="23"/>
      <c r="L890" s="23"/>
      <c r="M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2"/>
      <c r="J891" s="23"/>
      <c r="K891" s="23"/>
      <c r="L891" s="23"/>
      <c r="M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2"/>
      <c r="J892" s="23"/>
      <c r="K892" s="23"/>
      <c r="L892" s="23"/>
      <c r="M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2"/>
      <c r="J893" s="23"/>
      <c r="K893" s="23"/>
      <c r="L893" s="23"/>
      <c r="M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2"/>
      <c r="J894" s="23"/>
      <c r="K894" s="23"/>
      <c r="L894" s="23"/>
      <c r="M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2"/>
      <c r="J895" s="23"/>
      <c r="K895" s="23"/>
      <c r="L895" s="23"/>
      <c r="M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2"/>
      <c r="J896" s="23"/>
      <c r="K896" s="23"/>
      <c r="L896" s="23"/>
      <c r="M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2"/>
      <c r="J897" s="23"/>
      <c r="K897" s="23"/>
      <c r="L897" s="23"/>
      <c r="M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2"/>
      <c r="J898" s="23"/>
      <c r="K898" s="23"/>
      <c r="L898" s="23"/>
      <c r="M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2"/>
      <c r="J899" s="23"/>
      <c r="K899" s="23"/>
      <c r="L899" s="23"/>
      <c r="M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2"/>
      <c r="J900" s="23"/>
      <c r="K900" s="23"/>
      <c r="L900" s="23"/>
      <c r="M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2"/>
      <c r="J901" s="23"/>
      <c r="K901" s="23"/>
      <c r="L901" s="23"/>
      <c r="M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2"/>
      <c r="J902" s="23"/>
      <c r="K902" s="23"/>
      <c r="L902" s="23"/>
      <c r="M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2"/>
      <c r="J903" s="23"/>
      <c r="K903" s="23"/>
      <c r="L903" s="23"/>
      <c r="M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2"/>
      <c r="J904" s="23"/>
      <c r="K904" s="23"/>
      <c r="L904" s="23"/>
      <c r="M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2"/>
      <c r="J905" s="23"/>
      <c r="K905" s="23"/>
      <c r="L905" s="23"/>
      <c r="M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2"/>
      <c r="J906" s="23"/>
      <c r="K906" s="23"/>
      <c r="L906" s="23"/>
      <c r="M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2"/>
      <c r="J907" s="23"/>
      <c r="K907" s="23"/>
      <c r="L907" s="23"/>
      <c r="M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2"/>
      <c r="J908" s="23"/>
      <c r="K908" s="23"/>
      <c r="L908" s="23"/>
      <c r="M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2"/>
      <c r="J909" s="23"/>
      <c r="K909" s="23"/>
      <c r="L909" s="23"/>
      <c r="M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2"/>
      <c r="J910" s="23"/>
      <c r="K910" s="23"/>
      <c r="L910" s="23"/>
      <c r="M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2"/>
      <c r="J911" s="23"/>
      <c r="K911" s="23"/>
      <c r="L911" s="23"/>
      <c r="M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2"/>
      <c r="J912" s="23"/>
      <c r="K912" s="23"/>
      <c r="L912" s="23"/>
      <c r="M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2"/>
      <c r="J913" s="23"/>
      <c r="K913" s="23"/>
      <c r="L913" s="23"/>
      <c r="M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2"/>
      <c r="J914" s="23"/>
      <c r="K914" s="23"/>
      <c r="L914" s="23"/>
      <c r="M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2"/>
      <c r="J915" s="23"/>
      <c r="K915" s="23"/>
      <c r="L915" s="23"/>
      <c r="M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2"/>
      <c r="J916" s="23"/>
      <c r="K916" s="23"/>
      <c r="L916" s="23"/>
      <c r="M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2"/>
      <c r="J917" s="23"/>
      <c r="K917" s="23"/>
      <c r="L917" s="23"/>
      <c r="M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2"/>
      <c r="J918" s="23"/>
      <c r="K918" s="23"/>
      <c r="L918" s="23"/>
      <c r="M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2"/>
      <c r="J919" s="23"/>
      <c r="K919" s="23"/>
      <c r="L919" s="23"/>
      <c r="M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2"/>
      <c r="J920" s="23"/>
      <c r="K920" s="23"/>
      <c r="L920" s="23"/>
      <c r="M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2"/>
      <c r="J921" s="23"/>
      <c r="K921" s="23"/>
      <c r="L921" s="23"/>
      <c r="M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2"/>
      <c r="J922" s="23"/>
      <c r="K922" s="23"/>
      <c r="L922" s="23"/>
      <c r="M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2"/>
      <c r="J923" s="23"/>
      <c r="K923" s="23"/>
      <c r="L923" s="23"/>
      <c r="M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2"/>
      <c r="J924" s="23"/>
      <c r="K924" s="23"/>
      <c r="L924" s="23"/>
      <c r="M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2"/>
      <c r="J925" s="23"/>
      <c r="K925" s="23"/>
      <c r="L925" s="23"/>
      <c r="M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2"/>
      <c r="J926" s="23"/>
      <c r="K926" s="23"/>
      <c r="L926" s="23"/>
      <c r="M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2"/>
      <c r="J927" s="23"/>
      <c r="K927" s="23"/>
      <c r="L927" s="23"/>
      <c r="M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2"/>
      <c r="J928" s="23"/>
      <c r="K928" s="23"/>
      <c r="L928" s="23"/>
      <c r="M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2"/>
      <c r="J929" s="23"/>
      <c r="K929" s="23"/>
      <c r="L929" s="23"/>
      <c r="M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2"/>
      <c r="J930" s="23"/>
      <c r="K930" s="23"/>
      <c r="L930" s="23"/>
      <c r="M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2"/>
      <c r="J931" s="23"/>
      <c r="K931" s="23"/>
      <c r="L931" s="23"/>
      <c r="M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2"/>
      <c r="J932" s="23"/>
      <c r="K932" s="23"/>
      <c r="L932" s="23"/>
      <c r="M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2"/>
      <c r="J933" s="23"/>
      <c r="K933" s="23"/>
      <c r="L933" s="23"/>
      <c r="M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2"/>
      <c r="J934" s="23"/>
      <c r="K934" s="23"/>
      <c r="L934" s="23"/>
      <c r="M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2"/>
      <c r="J935" s="23"/>
      <c r="K935" s="23"/>
      <c r="L935" s="23"/>
      <c r="M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2"/>
      <c r="J936" s="23"/>
      <c r="K936" s="23"/>
      <c r="L936" s="23"/>
      <c r="M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2"/>
      <c r="J937" s="23"/>
      <c r="K937" s="23"/>
      <c r="L937" s="23"/>
      <c r="M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2"/>
      <c r="J938" s="23"/>
      <c r="K938" s="23"/>
      <c r="L938" s="23"/>
      <c r="M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2"/>
      <c r="J939" s="23"/>
      <c r="K939" s="23"/>
      <c r="L939" s="23"/>
      <c r="M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2"/>
      <c r="J940" s="23"/>
      <c r="K940" s="23"/>
      <c r="L940" s="23"/>
      <c r="M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2"/>
      <c r="J941" s="23"/>
      <c r="K941" s="23"/>
      <c r="L941" s="23"/>
      <c r="M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2"/>
      <c r="J942" s="23"/>
      <c r="K942" s="23"/>
      <c r="L942" s="23"/>
      <c r="M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2"/>
      <c r="J943" s="23"/>
      <c r="K943" s="23"/>
      <c r="L943" s="23"/>
      <c r="M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2"/>
      <c r="J944" s="23"/>
      <c r="K944" s="23"/>
      <c r="L944" s="23"/>
      <c r="M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2"/>
      <c r="J945" s="23"/>
      <c r="K945" s="23"/>
      <c r="L945" s="23"/>
      <c r="M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2"/>
      <c r="J946" s="23"/>
      <c r="K946" s="23"/>
      <c r="L946" s="23"/>
      <c r="M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2"/>
      <c r="J947" s="23"/>
      <c r="K947" s="23"/>
      <c r="L947" s="23"/>
      <c r="M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2"/>
      <c r="J948" s="23"/>
      <c r="K948" s="23"/>
      <c r="L948" s="23"/>
      <c r="M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2"/>
      <c r="J949" s="23"/>
      <c r="K949" s="23"/>
      <c r="L949" s="23"/>
      <c r="M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2"/>
      <c r="J950" s="23"/>
      <c r="K950" s="23"/>
      <c r="L950" s="23"/>
      <c r="M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2"/>
      <c r="J951" s="23"/>
      <c r="K951" s="23"/>
      <c r="L951" s="23"/>
      <c r="M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2"/>
      <c r="J952" s="23"/>
      <c r="K952" s="23"/>
      <c r="L952" s="23"/>
      <c r="M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2"/>
      <c r="J953" s="23"/>
      <c r="K953" s="23"/>
      <c r="L953" s="23"/>
      <c r="M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2"/>
      <c r="J954" s="23"/>
      <c r="K954" s="23"/>
      <c r="L954" s="23"/>
      <c r="M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2"/>
      <c r="J955" s="23"/>
      <c r="K955" s="23"/>
      <c r="L955" s="23"/>
      <c r="M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2"/>
      <c r="J956" s="23"/>
      <c r="K956" s="23"/>
      <c r="L956" s="23"/>
      <c r="M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2"/>
      <c r="J957" s="23"/>
      <c r="K957" s="23"/>
      <c r="L957" s="23"/>
      <c r="M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2"/>
      <c r="J958" s="23"/>
      <c r="K958" s="23"/>
      <c r="L958" s="23"/>
      <c r="M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2"/>
      <c r="J959" s="23"/>
      <c r="K959" s="23"/>
      <c r="L959" s="23"/>
      <c r="M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2"/>
      <c r="J960" s="23"/>
      <c r="K960" s="23"/>
      <c r="L960" s="23"/>
      <c r="M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2"/>
      <c r="J961" s="23"/>
      <c r="K961" s="23"/>
      <c r="L961" s="23"/>
      <c r="M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2"/>
      <c r="J962" s="23"/>
      <c r="K962" s="23"/>
      <c r="L962" s="23"/>
      <c r="M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2"/>
      <c r="J963" s="23"/>
      <c r="K963" s="23"/>
      <c r="L963" s="23"/>
      <c r="M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2"/>
      <c r="J964" s="23"/>
      <c r="K964" s="23"/>
      <c r="L964" s="23"/>
      <c r="M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2"/>
      <c r="J965" s="23"/>
      <c r="K965" s="23"/>
      <c r="L965" s="23"/>
      <c r="M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2"/>
      <c r="J966" s="23"/>
      <c r="K966" s="23"/>
      <c r="L966" s="23"/>
      <c r="M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2"/>
      <c r="J967" s="23"/>
      <c r="K967" s="23"/>
      <c r="L967" s="23"/>
      <c r="M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2"/>
      <c r="J968" s="23"/>
      <c r="K968" s="23"/>
      <c r="L968" s="23"/>
      <c r="M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2"/>
      <c r="J969" s="23"/>
      <c r="K969" s="23"/>
      <c r="L969" s="23"/>
      <c r="M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2"/>
      <c r="J970" s="23"/>
      <c r="K970" s="23"/>
      <c r="L970" s="23"/>
      <c r="M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2"/>
      <c r="J971" s="23"/>
      <c r="K971" s="23"/>
      <c r="L971" s="23"/>
      <c r="M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2"/>
      <c r="J972" s="23"/>
      <c r="K972" s="23"/>
      <c r="L972" s="23"/>
      <c r="M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2"/>
      <c r="J973" s="23"/>
      <c r="K973" s="23"/>
      <c r="L973" s="23"/>
      <c r="M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2"/>
      <c r="J974" s="23"/>
      <c r="K974" s="23"/>
      <c r="L974" s="23"/>
      <c r="M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2"/>
      <c r="J975" s="23"/>
      <c r="K975" s="23"/>
      <c r="L975" s="23"/>
      <c r="M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2"/>
      <c r="J976" s="23"/>
      <c r="K976" s="23"/>
      <c r="L976" s="23"/>
      <c r="M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2"/>
      <c r="J977" s="23"/>
      <c r="K977" s="23"/>
      <c r="L977" s="23"/>
      <c r="M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2"/>
      <c r="J978" s="23"/>
      <c r="K978" s="23"/>
      <c r="L978" s="23"/>
      <c r="M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2"/>
      <c r="J979" s="23"/>
      <c r="K979" s="23"/>
      <c r="L979" s="23"/>
      <c r="M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2"/>
      <c r="J980" s="23"/>
      <c r="K980" s="23"/>
      <c r="L980" s="23"/>
      <c r="M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2"/>
      <c r="J981" s="23"/>
      <c r="K981" s="23"/>
      <c r="L981" s="23"/>
      <c r="M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2"/>
      <c r="J982" s="23"/>
      <c r="K982" s="23"/>
      <c r="L982" s="23"/>
      <c r="M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2"/>
      <c r="J983" s="23"/>
      <c r="K983" s="23"/>
      <c r="L983" s="23"/>
      <c r="M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2"/>
      <c r="J984" s="23"/>
      <c r="K984" s="23"/>
      <c r="L984" s="23"/>
      <c r="M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2"/>
      <c r="J985" s="23"/>
      <c r="K985" s="23"/>
      <c r="L985" s="23"/>
      <c r="M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2"/>
      <c r="J986" s="23"/>
      <c r="K986" s="23"/>
      <c r="L986" s="23"/>
      <c r="M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2"/>
      <c r="J987" s="23"/>
      <c r="K987" s="23"/>
      <c r="L987" s="23"/>
      <c r="M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2"/>
      <c r="J988" s="23"/>
      <c r="K988" s="23"/>
      <c r="L988" s="23"/>
      <c r="M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2"/>
      <c r="J989" s="23"/>
      <c r="K989" s="23"/>
      <c r="L989" s="23"/>
      <c r="M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2"/>
      <c r="J990" s="23"/>
      <c r="K990" s="23"/>
      <c r="L990" s="23"/>
      <c r="M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2"/>
      <c r="J991" s="23"/>
      <c r="K991" s="23"/>
      <c r="L991" s="23"/>
      <c r="M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2"/>
      <c r="J992" s="23"/>
      <c r="K992" s="23"/>
      <c r="L992" s="23"/>
      <c r="M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2"/>
      <c r="J993" s="23"/>
      <c r="K993" s="23"/>
      <c r="L993" s="23"/>
      <c r="M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2"/>
      <c r="J994" s="23"/>
      <c r="K994" s="23"/>
      <c r="L994" s="23"/>
      <c r="M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2"/>
      <c r="J995" s="23"/>
      <c r="K995" s="23"/>
      <c r="L995" s="23"/>
      <c r="M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2"/>
      <c r="J996" s="23"/>
      <c r="K996" s="23"/>
      <c r="L996" s="23"/>
      <c r="M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2"/>
      <c r="J997" s="23"/>
      <c r="K997" s="23"/>
      <c r="L997" s="23"/>
      <c r="M997" s="23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40.57"/>
    <col customWidth="1" min="3" max="3" width="15.86"/>
    <col customWidth="1" min="4" max="4" width="13.71"/>
    <col customWidth="1" min="5" max="5" width="7.57"/>
    <col customWidth="1" min="6" max="6" width="14.43"/>
    <col customWidth="1" min="7" max="7" width="13.43"/>
    <col customWidth="1" min="8" max="8" width="19.0"/>
    <col customWidth="1" min="9" max="9" width="18.29"/>
    <col customWidth="1" min="10" max="10" width="13.14"/>
    <col customWidth="1" min="11" max="11" width="11.29"/>
    <col customWidth="1" min="12" max="12" width="33.0"/>
    <col customWidth="1" min="13" max="13" width="28.86"/>
    <col customWidth="1" min="14" max="14" width="13.43"/>
    <col customWidth="1" min="15" max="15" width="20.57"/>
  </cols>
  <sheetData>
    <row r="1">
      <c r="A1" s="16" t="s">
        <v>48</v>
      </c>
      <c r="B1" s="16" t="s">
        <v>49</v>
      </c>
      <c r="C1" s="16" t="s">
        <v>50</v>
      </c>
      <c r="D1" s="17" t="s">
        <v>69</v>
      </c>
      <c r="E1" s="17" t="s">
        <v>70</v>
      </c>
      <c r="F1" s="17" t="s">
        <v>71</v>
      </c>
      <c r="G1" s="24" t="s">
        <v>102</v>
      </c>
      <c r="H1" s="17" t="s">
        <v>73</v>
      </c>
      <c r="I1" s="16" t="s">
        <v>74</v>
      </c>
      <c r="J1" s="16" t="s">
        <v>1</v>
      </c>
      <c r="K1" s="24" t="s">
        <v>103</v>
      </c>
      <c r="L1" s="24" t="s">
        <v>104</v>
      </c>
      <c r="M1" s="25" t="s">
        <v>105</v>
      </c>
      <c r="N1" s="26" t="s">
        <v>106</v>
      </c>
      <c r="O1" s="27" t="s">
        <v>107</v>
      </c>
    </row>
    <row r="2">
      <c r="A2" s="19" t="s">
        <v>65</v>
      </c>
      <c r="B2" s="19" t="s">
        <v>66</v>
      </c>
      <c r="C2" s="19" t="s">
        <v>19</v>
      </c>
      <c r="D2" s="20">
        <v>45658.0</v>
      </c>
      <c r="E2" s="19">
        <v>2701.0</v>
      </c>
      <c r="F2" s="21">
        <v>45699.0</v>
      </c>
      <c r="G2" s="22">
        <v>191611.98</v>
      </c>
      <c r="H2" s="21" t="s">
        <v>78</v>
      </c>
      <c r="I2" s="21">
        <v>45759.0</v>
      </c>
      <c r="J2" s="19" t="s">
        <v>79</v>
      </c>
      <c r="K2" s="19"/>
      <c r="L2" s="19" t="s">
        <v>108</v>
      </c>
      <c r="M2" s="19"/>
      <c r="N2" s="28">
        <v>0.0</v>
      </c>
      <c r="O2" s="22">
        <v>0.0</v>
      </c>
    </row>
    <row r="3">
      <c r="A3" s="19" t="s">
        <v>65</v>
      </c>
      <c r="B3" s="19" t="s">
        <v>66</v>
      </c>
      <c r="C3" s="19" t="s">
        <v>19</v>
      </c>
      <c r="D3" s="20">
        <v>45658.0</v>
      </c>
      <c r="E3" s="19">
        <v>2702.0</v>
      </c>
      <c r="F3" s="21">
        <v>45699.0</v>
      </c>
      <c r="G3" s="22">
        <v>24607.42</v>
      </c>
      <c r="H3" s="21" t="s">
        <v>78</v>
      </c>
      <c r="I3" s="21">
        <v>45759.0</v>
      </c>
      <c r="J3" s="19" t="s">
        <v>79</v>
      </c>
      <c r="K3" s="19"/>
      <c r="L3" s="19" t="s">
        <v>108</v>
      </c>
      <c r="M3" s="19"/>
      <c r="N3" s="28">
        <v>0.0</v>
      </c>
      <c r="O3" s="22">
        <v>0.0</v>
      </c>
    </row>
    <row r="4">
      <c r="A4" s="19" t="s">
        <v>51</v>
      </c>
      <c r="B4" s="19" t="s">
        <v>52</v>
      </c>
      <c r="C4" s="19" t="s">
        <v>28</v>
      </c>
      <c r="D4" s="20">
        <v>45658.0</v>
      </c>
      <c r="E4" s="19">
        <v>145286.0</v>
      </c>
      <c r="F4" s="21">
        <v>45701.0</v>
      </c>
      <c r="G4" s="22">
        <v>65948.64</v>
      </c>
      <c r="H4" s="21" t="s">
        <v>78</v>
      </c>
      <c r="I4" s="21">
        <v>45746.0</v>
      </c>
      <c r="J4" s="19" t="s">
        <v>7</v>
      </c>
      <c r="K4" s="19"/>
      <c r="L4" s="19" t="s">
        <v>108</v>
      </c>
      <c r="M4" s="19"/>
      <c r="N4" s="28">
        <v>0.0</v>
      </c>
      <c r="O4" s="22">
        <v>0.0</v>
      </c>
    </row>
    <row r="5">
      <c r="A5" s="19" t="s">
        <v>51</v>
      </c>
      <c r="B5" s="19" t="s">
        <v>52</v>
      </c>
      <c r="C5" s="19" t="s">
        <v>28</v>
      </c>
      <c r="D5" s="20">
        <v>45658.0</v>
      </c>
      <c r="E5" s="19">
        <v>145286.0</v>
      </c>
      <c r="F5" s="21">
        <v>45701.0</v>
      </c>
      <c r="G5" s="22">
        <v>65948.64</v>
      </c>
      <c r="H5" s="21" t="s">
        <v>78</v>
      </c>
      <c r="I5" s="21">
        <v>45746.0</v>
      </c>
      <c r="J5" s="19" t="s">
        <v>90</v>
      </c>
      <c r="K5" s="19"/>
      <c r="L5" s="19" t="s">
        <v>108</v>
      </c>
      <c r="M5" s="19"/>
      <c r="N5" s="28">
        <v>0.0</v>
      </c>
      <c r="O5" s="22">
        <v>0.0</v>
      </c>
    </row>
    <row r="6">
      <c r="A6" s="19" t="s">
        <v>65</v>
      </c>
      <c r="B6" s="19" t="s">
        <v>66</v>
      </c>
      <c r="C6" s="19" t="s">
        <v>19</v>
      </c>
      <c r="D6" s="20">
        <v>45689.0</v>
      </c>
      <c r="E6" s="19">
        <v>2753.0</v>
      </c>
      <c r="F6" s="21">
        <v>45727.0</v>
      </c>
      <c r="G6" s="22">
        <v>151745.33</v>
      </c>
      <c r="H6" s="21" t="s">
        <v>81</v>
      </c>
      <c r="I6" s="21">
        <v>45787.0</v>
      </c>
      <c r="J6" s="19" t="s">
        <v>79</v>
      </c>
      <c r="K6" s="19"/>
      <c r="L6" s="19" t="s">
        <v>108</v>
      </c>
      <c r="M6" s="19"/>
      <c r="N6" s="28">
        <v>0.0</v>
      </c>
      <c r="O6" s="22">
        <v>0.0</v>
      </c>
    </row>
    <row r="7">
      <c r="A7" s="19" t="s">
        <v>65</v>
      </c>
      <c r="B7" s="19" t="s">
        <v>66</v>
      </c>
      <c r="C7" s="19" t="s">
        <v>19</v>
      </c>
      <c r="D7" s="20">
        <v>45689.0</v>
      </c>
      <c r="E7" s="19">
        <v>2753.0</v>
      </c>
      <c r="F7" s="21">
        <v>45727.0</v>
      </c>
      <c r="G7" s="22">
        <v>151745.33</v>
      </c>
      <c r="H7" s="21" t="s">
        <v>81</v>
      </c>
      <c r="I7" s="21">
        <v>45787.0</v>
      </c>
      <c r="J7" s="19" t="s">
        <v>109</v>
      </c>
      <c r="K7" s="19"/>
      <c r="L7" s="19" t="s">
        <v>108</v>
      </c>
      <c r="M7" s="19"/>
      <c r="N7" s="28">
        <v>0.0</v>
      </c>
      <c r="O7" s="22">
        <v>0.0</v>
      </c>
    </row>
    <row r="8">
      <c r="A8" s="19" t="s">
        <v>51</v>
      </c>
      <c r="B8" s="19" t="s">
        <v>52</v>
      </c>
      <c r="C8" s="19" t="s">
        <v>28</v>
      </c>
      <c r="D8" s="20">
        <v>45689.0</v>
      </c>
      <c r="E8" s="19">
        <v>145885.0</v>
      </c>
      <c r="F8" s="21">
        <v>45729.0</v>
      </c>
      <c r="G8" s="22">
        <v>9928.38</v>
      </c>
      <c r="H8" s="21" t="s">
        <v>81</v>
      </c>
      <c r="I8" s="21">
        <v>45774.0</v>
      </c>
      <c r="J8" s="19" t="s">
        <v>7</v>
      </c>
      <c r="K8" s="19"/>
      <c r="L8" s="19" t="s">
        <v>110</v>
      </c>
      <c r="M8" s="19" t="s">
        <v>111</v>
      </c>
      <c r="N8" s="28">
        <v>49.0</v>
      </c>
      <c r="O8" s="22">
        <v>202.62</v>
      </c>
    </row>
    <row r="9">
      <c r="A9" s="19" t="s">
        <v>51</v>
      </c>
      <c r="B9" s="19" t="s">
        <v>52</v>
      </c>
      <c r="C9" s="19" t="s">
        <v>28</v>
      </c>
      <c r="D9" s="20">
        <v>45689.0</v>
      </c>
      <c r="E9" s="19">
        <v>145885.0</v>
      </c>
      <c r="F9" s="21">
        <v>45729.0</v>
      </c>
      <c r="G9" s="22">
        <v>32419.2</v>
      </c>
      <c r="H9" s="21" t="s">
        <v>81</v>
      </c>
      <c r="I9" s="21">
        <v>45774.0</v>
      </c>
      <c r="J9" s="19" t="s">
        <v>7</v>
      </c>
      <c r="K9" s="19" t="s">
        <v>33</v>
      </c>
      <c r="L9" s="19" t="s">
        <v>112</v>
      </c>
      <c r="M9" s="19" t="s">
        <v>111</v>
      </c>
      <c r="N9" s="28">
        <v>160.0</v>
      </c>
      <c r="O9" s="22">
        <v>202.62</v>
      </c>
    </row>
    <row r="10">
      <c r="A10" s="19" t="s">
        <v>51</v>
      </c>
      <c r="B10" s="19" t="s">
        <v>52</v>
      </c>
      <c r="C10" s="19" t="s">
        <v>28</v>
      </c>
      <c r="D10" s="20">
        <v>45689.0</v>
      </c>
      <c r="E10" s="19">
        <v>145885.0</v>
      </c>
      <c r="F10" s="21">
        <v>45729.0</v>
      </c>
      <c r="G10" s="22">
        <v>45897.84</v>
      </c>
      <c r="H10" s="21" t="s">
        <v>81</v>
      </c>
      <c r="I10" s="21">
        <v>45774.0</v>
      </c>
      <c r="J10" s="19" t="s">
        <v>7</v>
      </c>
      <c r="K10" s="19" t="s">
        <v>31</v>
      </c>
      <c r="L10" s="19" t="s">
        <v>113</v>
      </c>
      <c r="M10" s="19" t="s">
        <v>114</v>
      </c>
      <c r="N10" s="28">
        <v>162.0</v>
      </c>
      <c r="O10" s="22">
        <v>283.32</v>
      </c>
    </row>
    <row r="11">
      <c r="A11" s="19" t="s">
        <v>65</v>
      </c>
      <c r="B11" s="19" t="s">
        <v>66</v>
      </c>
      <c r="C11" s="19" t="s">
        <v>19</v>
      </c>
      <c r="D11" s="20">
        <v>45717.0</v>
      </c>
      <c r="E11" s="19">
        <v>2791.0</v>
      </c>
      <c r="F11" s="21">
        <v>45749.0</v>
      </c>
      <c r="G11" s="22">
        <v>17161.46</v>
      </c>
      <c r="H11" s="21" t="s">
        <v>82</v>
      </c>
      <c r="I11" s="21">
        <v>45809.0</v>
      </c>
      <c r="J11" s="19" t="s">
        <v>79</v>
      </c>
      <c r="K11" s="19" t="s">
        <v>39</v>
      </c>
      <c r="L11" s="19" t="s">
        <v>40</v>
      </c>
      <c r="M11" s="19" t="s">
        <v>111</v>
      </c>
      <c r="N11" s="28">
        <v>82.25</v>
      </c>
      <c r="O11" s="22">
        <v>208.65</v>
      </c>
    </row>
    <row r="12">
      <c r="A12" s="19" t="s">
        <v>65</v>
      </c>
      <c r="B12" s="19" t="s">
        <v>66</v>
      </c>
      <c r="C12" s="19" t="s">
        <v>19</v>
      </c>
      <c r="D12" s="20">
        <v>45717.0</v>
      </c>
      <c r="E12" s="19">
        <v>2791.0</v>
      </c>
      <c r="F12" s="21">
        <v>45749.0</v>
      </c>
      <c r="G12" s="22">
        <v>15022.8</v>
      </c>
      <c r="H12" s="21" t="s">
        <v>82</v>
      </c>
      <c r="I12" s="21">
        <v>45809.0</v>
      </c>
      <c r="J12" s="19" t="s">
        <v>79</v>
      </c>
      <c r="K12" s="19" t="s">
        <v>115</v>
      </c>
      <c r="L12" s="19" t="s">
        <v>116</v>
      </c>
      <c r="M12" s="19" t="s">
        <v>111</v>
      </c>
      <c r="N12" s="28">
        <v>72.0</v>
      </c>
      <c r="O12" s="22">
        <v>208.65</v>
      </c>
    </row>
    <row r="13">
      <c r="A13" s="19" t="s">
        <v>65</v>
      </c>
      <c r="B13" s="19" t="s">
        <v>66</v>
      </c>
      <c r="C13" s="19" t="s">
        <v>19</v>
      </c>
      <c r="D13" s="20">
        <v>45717.0</v>
      </c>
      <c r="E13" s="19">
        <v>2791.0</v>
      </c>
      <c r="F13" s="21">
        <v>45749.0</v>
      </c>
      <c r="G13" s="22">
        <v>14188.2</v>
      </c>
      <c r="H13" s="21" t="s">
        <v>82</v>
      </c>
      <c r="I13" s="21">
        <v>45809.0</v>
      </c>
      <c r="J13" s="19" t="s">
        <v>79</v>
      </c>
      <c r="K13" s="19" t="s">
        <v>117</v>
      </c>
      <c r="L13" s="19" t="s">
        <v>118</v>
      </c>
      <c r="M13" s="19" t="s">
        <v>111</v>
      </c>
      <c r="N13" s="28">
        <v>68.0</v>
      </c>
      <c r="O13" s="22">
        <v>208.65</v>
      </c>
    </row>
    <row r="14">
      <c r="A14" s="19" t="s">
        <v>65</v>
      </c>
      <c r="B14" s="19" t="s">
        <v>66</v>
      </c>
      <c r="C14" s="19" t="s">
        <v>19</v>
      </c>
      <c r="D14" s="20">
        <v>45717.0</v>
      </c>
      <c r="E14" s="19">
        <v>2791.0</v>
      </c>
      <c r="F14" s="21">
        <v>45749.0</v>
      </c>
      <c r="G14" s="22">
        <v>14605.5</v>
      </c>
      <c r="H14" s="21" t="s">
        <v>82</v>
      </c>
      <c r="I14" s="21">
        <v>45809.0</v>
      </c>
      <c r="J14" s="19" t="s">
        <v>79</v>
      </c>
      <c r="K14" s="19" t="s">
        <v>26</v>
      </c>
      <c r="L14" s="19" t="s">
        <v>27</v>
      </c>
      <c r="M14" s="19" t="s">
        <v>111</v>
      </c>
      <c r="N14" s="28">
        <v>70.0</v>
      </c>
      <c r="O14" s="22">
        <v>208.65</v>
      </c>
    </row>
    <row r="15">
      <c r="A15" s="19" t="s">
        <v>65</v>
      </c>
      <c r="B15" s="19" t="s">
        <v>66</v>
      </c>
      <c r="C15" s="19" t="s">
        <v>19</v>
      </c>
      <c r="D15" s="20">
        <v>45717.0</v>
      </c>
      <c r="E15" s="19">
        <v>2791.0</v>
      </c>
      <c r="F15" s="21">
        <v>45749.0</v>
      </c>
      <c r="G15" s="22">
        <v>16223.25</v>
      </c>
      <c r="H15" s="21" t="s">
        <v>82</v>
      </c>
      <c r="I15" s="21">
        <v>45809.0</v>
      </c>
      <c r="J15" s="19" t="s">
        <v>79</v>
      </c>
      <c r="K15" s="19" t="s">
        <v>20</v>
      </c>
      <c r="L15" s="19" t="s">
        <v>21</v>
      </c>
      <c r="M15" s="19" t="s">
        <v>111</v>
      </c>
      <c r="N15" s="28">
        <v>72.75</v>
      </c>
      <c r="O15" s="22">
        <v>223.0</v>
      </c>
    </row>
    <row r="16">
      <c r="A16" s="19" t="s">
        <v>65</v>
      </c>
      <c r="B16" s="19" t="s">
        <v>66</v>
      </c>
      <c r="C16" s="19" t="s">
        <v>19</v>
      </c>
      <c r="D16" s="20">
        <v>45717.0</v>
      </c>
      <c r="E16" s="19">
        <v>2791.0</v>
      </c>
      <c r="F16" s="21">
        <v>45749.0</v>
      </c>
      <c r="G16" s="22">
        <v>15610.0</v>
      </c>
      <c r="H16" s="21" t="s">
        <v>82</v>
      </c>
      <c r="I16" s="21">
        <v>45809.0</v>
      </c>
      <c r="J16" s="19" t="s">
        <v>79</v>
      </c>
      <c r="K16" s="19" t="s">
        <v>22</v>
      </c>
      <c r="L16" s="19" t="s">
        <v>23</v>
      </c>
      <c r="M16" s="19" t="s">
        <v>119</v>
      </c>
      <c r="N16" s="28">
        <v>70.0</v>
      </c>
      <c r="O16" s="22">
        <v>223.0</v>
      </c>
    </row>
    <row r="17">
      <c r="A17" s="19" t="s">
        <v>65</v>
      </c>
      <c r="B17" s="19" t="s">
        <v>66</v>
      </c>
      <c r="C17" s="19" t="s">
        <v>19</v>
      </c>
      <c r="D17" s="20">
        <v>45717.0</v>
      </c>
      <c r="E17" s="19">
        <v>2791.0</v>
      </c>
      <c r="F17" s="21">
        <v>45749.0</v>
      </c>
      <c r="G17" s="22">
        <v>15283.61</v>
      </c>
      <c r="H17" s="21" t="s">
        <v>82</v>
      </c>
      <c r="I17" s="21">
        <v>45809.0</v>
      </c>
      <c r="J17" s="19" t="s">
        <v>79</v>
      </c>
      <c r="K17" s="19" t="s">
        <v>37</v>
      </c>
      <c r="L17" s="19" t="s">
        <v>38</v>
      </c>
      <c r="M17" s="19" t="s">
        <v>120</v>
      </c>
      <c r="N17" s="28">
        <v>73.25</v>
      </c>
      <c r="O17" s="22">
        <v>208.65</v>
      </c>
    </row>
    <row r="18">
      <c r="A18" s="19" t="s">
        <v>65</v>
      </c>
      <c r="B18" s="19" t="s">
        <v>66</v>
      </c>
      <c r="C18" s="19" t="s">
        <v>19</v>
      </c>
      <c r="D18" s="20">
        <v>45717.0</v>
      </c>
      <c r="E18" s="19">
        <v>2791.0</v>
      </c>
      <c r="F18" s="21">
        <v>45749.0</v>
      </c>
      <c r="G18" s="22">
        <v>14709.83</v>
      </c>
      <c r="H18" s="21" t="s">
        <v>82</v>
      </c>
      <c r="I18" s="21">
        <v>45809.0</v>
      </c>
      <c r="J18" s="19" t="s">
        <v>79</v>
      </c>
      <c r="K18" s="19" t="s">
        <v>24</v>
      </c>
      <c r="L18" s="19" t="s">
        <v>25</v>
      </c>
      <c r="M18" s="19" t="s">
        <v>111</v>
      </c>
      <c r="N18" s="28">
        <v>70.5</v>
      </c>
      <c r="O18" s="22">
        <v>208.65</v>
      </c>
    </row>
    <row r="19">
      <c r="A19" s="19" t="s">
        <v>65</v>
      </c>
      <c r="B19" s="19" t="s">
        <v>66</v>
      </c>
      <c r="C19" s="19" t="s">
        <v>19</v>
      </c>
      <c r="D19" s="20">
        <v>45717.0</v>
      </c>
      <c r="E19" s="19">
        <v>2791.0</v>
      </c>
      <c r="F19" s="21">
        <v>45749.0</v>
      </c>
      <c r="G19" s="22">
        <v>3110.0</v>
      </c>
      <c r="H19" s="21" t="s">
        <v>82</v>
      </c>
      <c r="I19" s="21">
        <v>45809.0</v>
      </c>
      <c r="J19" s="19" t="s">
        <v>79</v>
      </c>
      <c r="K19" s="19" t="s">
        <v>43</v>
      </c>
      <c r="L19" s="19" t="s">
        <v>44</v>
      </c>
      <c r="M19" s="19" t="s">
        <v>111</v>
      </c>
      <c r="N19" s="28">
        <v>0.0</v>
      </c>
      <c r="O19" s="22">
        <v>0.0</v>
      </c>
    </row>
    <row r="20">
      <c r="A20" s="19" t="s">
        <v>65</v>
      </c>
      <c r="B20" s="19" t="s">
        <v>66</v>
      </c>
      <c r="C20" s="19" t="s">
        <v>19</v>
      </c>
      <c r="D20" s="20">
        <v>45717.0</v>
      </c>
      <c r="E20" s="19">
        <v>2791.0</v>
      </c>
      <c r="F20" s="21">
        <v>45749.0</v>
      </c>
      <c r="G20" s="22">
        <v>-19615.95</v>
      </c>
      <c r="H20" s="21" t="s">
        <v>82</v>
      </c>
      <c r="I20" s="21">
        <v>45809.0</v>
      </c>
      <c r="J20" s="19" t="s">
        <v>79</v>
      </c>
      <c r="K20" s="19"/>
      <c r="L20" s="19" t="s">
        <v>121</v>
      </c>
      <c r="M20" s="19"/>
      <c r="N20" s="28">
        <v>0.0</v>
      </c>
      <c r="O20" s="22">
        <v>0.0</v>
      </c>
    </row>
    <row r="21" ht="15.75" customHeight="1">
      <c r="A21" s="19" t="s">
        <v>65</v>
      </c>
      <c r="B21" s="19" t="s">
        <v>66</v>
      </c>
      <c r="C21" s="19" t="s">
        <v>19</v>
      </c>
      <c r="D21" s="20">
        <v>45717.0</v>
      </c>
      <c r="E21" s="19">
        <v>2791.0</v>
      </c>
      <c r="F21" s="21">
        <v>45749.0</v>
      </c>
      <c r="G21" s="22">
        <v>17161.46</v>
      </c>
      <c r="H21" s="21" t="s">
        <v>82</v>
      </c>
      <c r="I21" s="21">
        <v>45809.0</v>
      </c>
      <c r="J21" s="19" t="s">
        <v>109</v>
      </c>
      <c r="K21" s="19" t="s">
        <v>39</v>
      </c>
      <c r="L21" s="19" t="s">
        <v>40</v>
      </c>
      <c r="M21" s="19" t="s">
        <v>111</v>
      </c>
      <c r="N21" s="28">
        <v>82.25</v>
      </c>
      <c r="O21" s="22">
        <v>208.65</v>
      </c>
    </row>
    <row r="22" ht="15.75" customHeight="1">
      <c r="A22" s="19" t="s">
        <v>65</v>
      </c>
      <c r="B22" s="19" t="s">
        <v>66</v>
      </c>
      <c r="C22" s="19" t="s">
        <v>19</v>
      </c>
      <c r="D22" s="20">
        <v>45717.0</v>
      </c>
      <c r="E22" s="19">
        <v>2791.0</v>
      </c>
      <c r="F22" s="21">
        <v>45749.0</v>
      </c>
      <c r="G22" s="22">
        <v>15022.8</v>
      </c>
      <c r="H22" s="21" t="s">
        <v>82</v>
      </c>
      <c r="I22" s="21">
        <v>45809.0</v>
      </c>
      <c r="J22" s="19" t="s">
        <v>109</v>
      </c>
      <c r="K22" s="19" t="s">
        <v>115</v>
      </c>
      <c r="L22" s="19" t="s">
        <v>116</v>
      </c>
      <c r="M22" s="19" t="s">
        <v>111</v>
      </c>
      <c r="N22" s="28">
        <v>72.0</v>
      </c>
      <c r="O22" s="22">
        <v>208.65</v>
      </c>
    </row>
    <row r="23" ht="15.75" customHeight="1">
      <c r="A23" s="19" t="s">
        <v>65</v>
      </c>
      <c r="B23" s="19" t="s">
        <v>66</v>
      </c>
      <c r="C23" s="19" t="s">
        <v>19</v>
      </c>
      <c r="D23" s="20">
        <v>45717.0</v>
      </c>
      <c r="E23" s="19">
        <v>2791.0</v>
      </c>
      <c r="F23" s="21">
        <v>45749.0</v>
      </c>
      <c r="G23" s="22">
        <v>14188.2</v>
      </c>
      <c r="H23" s="21" t="s">
        <v>82</v>
      </c>
      <c r="I23" s="21">
        <v>45809.0</v>
      </c>
      <c r="J23" s="19" t="s">
        <v>109</v>
      </c>
      <c r="K23" s="19" t="s">
        <v>117</v>
      </c>
      <c r="L23" s="19" t="s">
        <v>118</v>
      </c>
      <c r="M23" s="19" t="s">
        <v>111</v>
      </c>
      <c r="N23" s="28">
        <v>68.0</v>
      </c>
      <c r="O23" s="22">
        <v>208.65</v>
      </c>
    </row>
    <row r="24" ht="15.75" customHeight="1">
      <c r="A24" s="19" t="s">
        <v>65</v>
      </c>
      <c r="B24" s="19" t="s">
        <v>66</v>
      </c>
      <c r="C24" s="19" t="s">
        <v>19</v>
      </c>
      <c r="D24" s="20">
        <v>45717.0</v>
      </c>
      <c r="E24" s="19">
        <v>2791.0</v>
      </c>
      <c r="F24" s="21">
        <v>45749.0</v>
      </c>
      <c r="G24" s="22">
        <v>14605.5</v>
      </c>
      <c r="H24" s="21" t="s">
        <v>82</v>
      </c>
      <c r="I24" s="21">
        <v>45809.0</v>
      </c>
      <c r="J24" s="19" t="s">
        <v>109</v>
      </c>
      <c r="K24" s="19" t="s">
        <v>26</v>
      </c>
      <c r="L24" s="19" t="s">
        <v>27</v>
      </c>
      <c r="M24" s="19" t="s">
        <v>111</v>
      </c>
      <c r="N24" s="28">
        <v>70.0</v>
      </c>
      <c r="O24" s="22">
        <v>208.65</v>
      </c>
    </row>
    <row r="25" ht="15.75" customHeight="1">
      <c r="A25" s="19" t="s">
        <v>65</v>
      </c>
      <c r="B25" s="19" t="s">
        <v>66</v>
      </c>
      <c r="C25" s="19" t="s">
        <v>19</v>
      </c>
      <c r="D25" s="20">
        <v>45717.0</v>
      </c>
      <c r="E25" s="19">
        <v>2791.0</v>
      </c>
      <c r="F25" s="21">
        <v>45749.0</v>
      </c>
      <c r="G25" s="22">
        <v>16223.25</v>
      </c>
      <c r="H25" s="21" t="s">
        <v>82</v>
      </c>
      <c r="I25" s="21">
        <v>45809.0</v>
      </c>
      <c r="J25" s="19" t="s">
        <v>109</v>
      </c>
      <c r="K25" s="19" t="s">
        <v>20</v>
      </c>
      <c r="L25" s="19" t="s">
        <v>21</v>
      </c>
      <c r="M25" s="19" t="s">
        <v>111</v>
      </c>
      <c r="N25" s="28">
        <v>72.75</v>
      </c>
      <c r="O25" s="22">
        <v>223.0</v>
      </c>
    </row>
    <row r="26" ht="15.75" customHeight="1">
      <c r="A26" s="19" t="s">
        <v>65</v>
      </c>
      <c r="B26" s="19" t="s">
        <v>66</v>
      </c>
      <c r="C26" s="19" t="s">
        <v>19</v>
      </c>
      <c r="D26" s="20">
        <v>45717.0</v>
      </c>
      <c r="E26" s="19">
        <v>2791.0</v>
      </c>
      <c r="F26" s="21">
        <v>45749.0</v>
      </c>
      <c r="G26" s="22">
        <v>15610.0</v>
      </c>
      <c r="H26" s="21" t="s">
        <v>82</v>
      </c>
      <c r="I26" s="21">
        <v>45809.0</v>
      </c>
      <c r="J26" s="19" t="s">
        <v>109</v>
      </c>
      <c r="K26" s="19" t="s">
        <v>22</v>
      </c>
      <c r="L26" s="19" t="s">
        <v>23</v>
      </c>
      <c r="M26" s="19" t="s">
        <v>119</v>
      </c>
      <c r="N26" s="28">
        <v>70.0</v>
      </c>
      <c r="O26" s="22">
        <v>223.0</v>
      </c>
    </row>
    <row r="27" ht="15.75" customHeight="1">
      <c r="A27" s="19" t="s">
        <v>65</v>
      </c>
      <c r="B27" s="19" t="s">
        <v>66</v>
      </c>
      <c r="C27" s="19" t="s">
        <v>19</v>
      </c>
      <c r="D27" s="20">
        <v>45717.0</v>
      </c>
      <c r="E27" s="19">
        <v>2791.0</v>
      </c>
      <c r="F27" s="21">
        <v>45749.0</v>
      </c>
      <c r="G27" s="22">
        <v>15283.61</v>
      </c>
      <c r="H27" s="21" t="s">
        <v>82</v>
      </c>
      <c r="I27" s="21">
        <v>45809.0</v>
      </c>
      <c r="J27" s="19" t="s">
        <v>109</v>
      </c>
      <c r="K27" s="19" t="s">
        <v>37</v>
      </c>
      <c r="L27" s="19" t="s">
        <v>38</v>
      </c>
      <c r="M27" s="19" t="s">
        <v>120</v>
      </c>
      <c r="N27" s="28">
        <v>73.25</v>
      </c>
      <c r="O27" s="22">
        <v>208.65</v>
      </c>
    </row>
    <row r="28" ht="15.75" customHeight="1">
      <c r="A28" s="19" t="s">
        <v>65</v>
      </c>
      <c r="B28" s="19" t="s">
        <v>66</v>
      </c>
      <c r="C28" s="19" t="s">
        <v>19</v>
      </c>
      <c r="D28" s="20">
        <v>45717.0</v>
      </c>
      <c r="E28" s="19">
        <v>2791.0</v>
      </c>
      <c r="F28" s="21">
        <v>45749.0</v>
      </c>
      <c r="G28" s="22">
        <v>14709.83</v>
      </c>
      <c r="H28" s="21" t="s">
        <v>82</v>
      </c>
      <c r="I28" s="21">
        <v>45809.0</v>
      </c>
      <c r="J28" s="19" t="s">
        <v>109</v>
      </c>
      <c r="K28" s="19" t="s">
        <v>24</v>
      </c>
      <c r="L28" s="19" t="s">
        <v>25</v>
      </c>
      <c r="M28" s="19" t="s">
        <v>111</v>
      </c>
      <c r="N28" s="28">
        <v>70.5</v>
      </c>
      <c r="O28" s="22">
        <v>208.65</v>
      </c>
    </row>
    <row r="29" ht="15.75" customHeight="1">
      <c r="A29" s="19" t="s">
        <v>65</v>
      </c>
      <c r="B29" s="19" t="s">
        <v>66</v>
      </c>
      <c r="C29" s="19" t="s">
        <v>19</v>
      </c>
      <c r="D29" s="20">
        <v>45717.0</v>
      </c>
      <c r="E29" s="19">
        <v>2791.0</v>
      </c>
      <c r="F29" s="21">
        <v>45749.0</v>
      </c>
      <c r="G29" s="22">
        <v>3110.0</v>
      </c>
      <c r="H29" s="21" t="s">
        <v>82</v>
      </c>
      <c r="I29" s="21">
        <v>45809.0</v>
      </c>
      <c r="J29" s="19" t="s">
        <v>109</v>
      </c>
      <c r="K29" s="19" t="s">
        <v>43</v>
      </c>
      <c r="L29" s="19" t="s">
        <v>44</v>
      </c>
      <c r="M29" s="19" t="s">
        <v>111</v>
      </c>
      <c r="N29" s="28">
        <v>0.0</v>
      </c>
      <c r="O29" s="22">
        <v>0.0</v>
      </c>
    </row>
    <row r="30" ht="15.75" customHeight="1">
      <c r="A30" s="19" t="s">
        <v>65</v>
      </c>
      <c r="B30" s="19" t="s">
        <v>66</v>
      </c>
      <c r="C30" s="19" t="s">
        <v>19</v>
      </c>
      <c r="D30" s="20">
        <v>45717.0</v>
      </c>
      <c r="E30" s="19">
        <v>2791.0</v>
      </c>
      <c r="F30" s="21">
        <v>45749.0</v>
      </c>
      <c r="G30" s="22">
        <v>-19615.95</v>
      </c>
      <c r="H30" s="21" t="s">
        <v>82</v>
      </c>
      <c r="I30" s="21">
        <v>45809.0</v>
      </c>
      <c r="J30" s="19" t="s">
        <v>109</v>
      </c>
      <c r="K30" s="19"/>
      <c r="L30" s="19" t="s">
        <v>121</v>
      </c>
      <c r="M30" s="19"/>
      <c r="N30" s="28">
        <v>0.0</v>
      </c>
      <c r="O30" s="22">
        <v>0.0</v>
      </c>
    </row>
    <row r="31" ht="15.75" customHeight="1">
      <c r="A31" s="19" t="s">
        <v>51</v>
      </c>
      <c r="B31" s="19" t="s">
        <v>52</v>
      </c>
      <c r="C31" s="19" t="s">
        <v>28</v>
      </c>
      <c r="D31" s="20">
        <v>45717.0</v>
      </c>
      <c r="E31" s="23"/>
      <c r="F31" s="23"/>
      <c r="G31" s="22">
        <v>21815.64</v>
      </c>
      <c r="H31" s="21" t="s">
        <v>82</v>
      </c>
      <c r="I31" s="23"/>
      <c r="J31" s="19" t="s">
        <v>90</v>
      </c>
      <c r="K31" s="19" t="s">
        <v>122</v>
      </c>
      <c r="L31" s="19" t="s">
        <v>123</v>
      </c>
      <c r="M31" s="19" t="s">
        <v>114</v>
      </c>
      <c r="N31" s="28">
        <v>77.0</v>
      </c>
      <c r="O31" s="22">
        <v>283.32</v>
      </c>
    </row>
    <row r="32" ht="15.75" customHeight="1">
      <c r="A32" s="19" t="s">
        <v>51</v>
      </c>
      <c r="B32" s="19" t="s">
        <v>52</v>
      </c>
      <c r="C32" s="19" t="s">
        <v>28</v>
      </c>
      <c r="D32" s="20">
        <v>45717.0</v>
      </c>
      <c r="E32" s="23"/>
      <c r="F32" s="23"/>
      <c r="G32" s="22">
        <v>11332.8</v>
      </c>
      <c r="H32" s="21" t="s">
        <v>82</v>
      </c>
      <c r="I32" s="23"/>
      <c r="J32" s="19" t="s">
        <v>90</v>
      </c>
      <c r="K32" s="19" t="s">
        <v>124</v>
      </c>
      <c r="L32" s="19" t="s">
        <v>125</v>
      </c>
      <c r="M32" s="19" t="s">
        <v>126</v>
      </c>
      <c r="N32" s="28">
        <v>40.0</v>
      </c>
      <c r="O32" s="22">
        <v>283.32</v>
      </c>
    </row>
    <row r="33" ht="15.75" customHeight="1">
      <c r="A33" s="19" t="s">
        <v>51</v>
      </c>
      <c r="B33" s="19" t="s">
        <v>52</v>
      </c>
      <c r="C33" s="19" t="s">
        <v>28</v>
      </c>
      <c r="D33" s="20">
        <v>45717.0</v>
      </c>
      <c r="E33" s="23"/>
      <c r="F33" s="23"/>
      <c r="G33" s="22">
        <v>42252.96</v>
      </c>
      <c r="H33" s="21" t="s">
        <v>82</v>
      </c>
      <c r="I33" s="23"/>
      <c r="J33" s="19" t="s">
        <v>90</v>
      </c>
      <c r="K33" s="19" t="s">
        <v>127</v>
      </c>
      <c r="L33" s="19" t="s">
        <v>128</v>
      </c>
      <c r="M33" s="19" t="s">
        <v>111</v>
      </c>
      <c r="N33" s="28">
        <v>164.0</v>
      </c>
      <c r="O33" s="22">
        <v>257.64</v>
      </c>
    </row>
    <row r="34" ht="15.75" customHeight="1">
      <c r="A34" s="19" t="s">
        <v>51</v>
      </c>
      <c r="B34" s="19" t="s">
        <v>52</v>
      </c>
      <c r="C34" s="19" t="s">
        <v>28</v>
      </c>
      <c r="D34" s="20">
        <v>45717.0</v>
      </c>
      <c r="E34" s="23"/>
      <c r="F34" s="23"/>
      <c r="G34" s="22">
        <v>40707.12</v>
      </c>
      <c r="H34" s="21" t="s">
        <v>82</v>
      </c>
      <c r="I34" s="23"/>
      <c r="J34" s="19" t="s">
        <v>90</v>
      </c>
      <c r="K34" s="19" t="s">
        <v>129</v>
      </c>
      <c r="L34" s="19" t="s">
        <v>130</v>
      </c>
      <c r="M34" s="19" t="s">
        <v>111</v>
      </c>
      <c r="N34" s="28">
        <v>158.0</v>
      </c>
      <c r="O34" s="22">
        <v>257.64</v>
      </c>
    </row>
    <row r="35" ht="15.75" customHeight="1">
      <c r="A35" s="19" t="s">
        <v>51</v>
      </c>
      <c r="B35" s="19" t="s">
        <v>52</v>
      </c>
      <c r="C35" s="19" t="s">
        <v>28</v>
      </c>
      <c r="D35" s="20">
        <v>45717.0</v>
      </c>
      <c r="E35" s="23"/>
      <c r="F35" s="23"/>
      <c r="G35" s="22">
        <v>30393.0</v>
      </c>
      <c r="H35" s="21" t="s">
        <v>82</v>
      </c>
      <c r="I35" s="23"/>
      <c r="J35" s="19" t="s">
        <v>90</v>
      </c>
      <c r="K35" s="19" t="s">
        <v>131</v>
      </c>
      <c r="L35" s="19" t="s">
        <v>132</v>
      </c>
      <c r="M35" s="29" t="s">
        <v>133</v>
      </c>
      <c r="N35" s="28">
        <v>150.0</v>
      </c>
      <c r="O35" s="22">
        <v>202.62</v>
      </c>
    </row>
    <row r="36" ht="15.75" customHeight="1">
      <c r="A36" s="19" t="s">
        <v>51</v>
      </c>
      <c r="B36" s="19" t="s">
        <v>52</v>
      </c>
      <c r="C36" s="19" t="s">
        <v>28</v>
      </c>
      <c r="D36" s="20">
        <v>45717.0</v>
      </c>
      <c r="E36" s="23"/>
      <c r="F36" s="23"/>
      <c r="G36" s="22">
        <v>13778.16</v>
      </c>
      <c r="H36" s="21" t="s">
        <v>82</v>
      </c>
      <c r="I36" s="21"/>
      <c r="J36" s="19" t="s">
        <v>7</v>
      </c>
      <c r="K36" s="19"/>
      <c r="L36" s="19" t="s">
        <v>110</v>
      </c>
      <c r="M36" s="19" t="s">
        <v>111</v>
      </c>
      <c r="N36" s="28">
        <v>68.0</v>
      </c>
      <c r="O36" s="22">
        <v>202.62</v>
      </c>
    </row>
    <row r="37" ht="15.75" customHeight="1">
      <c r="A37" s="19" t="s">
        <v>51</v>
      </c>
      <c r="B37" s="19" t="s">
        <v>52</v>
      </c>
      <c r="C37" s="19" t="s">
        <v>28</v>
      </c>
      <c r="D37" s="20">
        <v>45717.0</v>
      </c>
      <c r="E37" s="23"/>
      <c r="F37" s="23"/>
      <c r="G37" s="22">
        <v>9725.76</v>
      </c>
      <c r="H37" s="21" t="s">
        <v>82</v>
      </c>
      <c r="I37" s="21"/>
      <c r="J37" s="19" t="s">
        <v>7</v>
      </c>
      <c r="K37" s="19" t="s">
        <v>134</v>
      </c>
      <c r="L37" s="19" t="s">
        <v>135</v>
      </c>
      <c r="M37" s="19" t="s">
        <v>111</v>
      </c>
      <c r="N37" s="28">
        <v>48.0</v>
      </c>
      <c r="O37" s="22">
        <v>202.62</v>
      </c>
    </row>
    <row r="38" ht="15.75" customHeight="1">
      <c r="A38" s="19" t="s">
        <v>51</v>
      </c>
      <c r="B38" s="19" t="s">
        <v>52</v>
      </c>
      <c r="C38" s="19" t="s">
        <v>28</v>
      </c>
      <c r="D38" s="20">
        <v>45717.0</v>
      </c>
      <c r="E38" s="23"/>
      <c r="F38" s="23"/>
      <c r="G38" s="22">
        <v>32621.82</v>
      </c>
      <c r="H38" s="21" t="s">
        <v>82</v>
      </c>
      <c r="I38" s="21"/>
      <c r="J38" s="19" t="s">
        <v>7</v>
      </c>
      <c r="K38" s="19" t="s">
        <v>33</v>
      </c>
      <c r="L38" s="19" t="s">
        <v>112</v>
      </c>
      <c r="M38" s="19" t="s">
        <v>111</v>
      </c>
      <c r="N38" s="28">
        <v>161.0</v>
      </c>
      <c r="O38" s="22">
        <v>202.62</v>
      </c>
    </row>
    <row r="39" ht="15.75" customHeight="1">
      <c r="A39" s="19" t="s">
        <v>51</v>
      </c>
      <c r="B39" s="19" t="s">
        <v>52</v>
      </c>
      <c r="C39" s="19" t="s">
        <v>28</v>
      </c>
      <c r="D39" s="20">
        <v>45717.0</v>
      </c>
      <c r="E39" s="23"/>
      <c r="F39" s="23"/>
      <c r="G39" s="22">
        <v>45331.2</v>
      </c>
      <c r="H39" s="21" t="s">
        <v>82</v>
      </c>
      <c r="I39" s="21"/>
      <c r="J39" s="19" t="s">
        <v>7</v>
      </c>
      <c r="K39" s="19" t="s">
        <v>31</v>
      </c>
      <c r="L39" s="19" t="s">
        <v>113</v>
      </c>
      <c r="M39" s="19" t="s">
        <v>114</v>
      </c>
      <c r="N39" s="28">
        <v>160.0</v>
      </c>
      <c r="O39" s="22">
        <v>283.32</v>
      </c>
    </row>
    <row r="40" ht="15.75" customHeight="1">
      <c r="A40" s="19" t="s">
        <v>62</v>
      </c>
      <c r="B40" s="19" t="s">
        <v>63</v>
      </c>
      <c r="C40" s="19" t="s">
        <v>64</v>
      </c>
      <c r="D40" s="20">
        <v>45717.0</v>
      </c>
      <c r="E40" s="19">
        <v>763.0</v>
      </c>
      <c r="F40" s="21">
        <v>45755.0</v>
      </c>
      <c r="G40" s="22">
        <v>41333.04</v>
      </c>
      <c r="H40" s="21" t="s">
        <v>82</v>
      </c>
      <c r="I40" s="21">
        <v>45785.0</v>
      </c>
      <c r="J40" s="19" t="s">
        <v>7</v>
      </c>
      <c r="K40" s="19" t="s">
        <v>136</v>
      </c>
      <c r="L40" s="19" t="s">
        <v>137</v>
      </c>
      <c r="M40" s="19" t="s">
        <v>138</v>
      </c>
      <c r="N40" s="28">
        <v>168.0</v>
      </c>
      <c r="O40" s="22">
        <v>246.03</v>
      </c>
    </row>
    <row r="41" ht="15.75" customHeight="1">
      <c r="A41" s="19" t="s">
        <v>65</v>
      </c>
      <c r="B41" s="19" t="s">
        <v>66</v>
      </c>
      <c r="C41" s="19" t="s">
        <v>19</v>
      </c>
      <c r="D41" s="20">
        <v>45748.0</v>
      </c>
      <c r="E41" s="19">
        <v>2838.0</v>
      </c>
      <c r="F41" s="21">
        <v>45783.0</v>
      </c>
      <c r="G41" s="22">
        <v>19508.78</v>
      </c>
      <c r="H41" s="21" t="s">
        <v>83</v>
      </c>
      <c r="I41" s="21">
        <v>45843.0</v>
      </c>
      <c r="J41" s="19" t="s">
        <v>79</v>
      </c>
      <c r="K41" s="19" t="s">
        <v>39</v>
      </c>
      <c r="L41" s="19" t="s">
        <v>40</v>
      </c>
      <c r="M41" s="19" t="s">
        <v>111</v>
      </c>
      <c r="N41" s="28">
        <v>93.5</v>
      </c>
      <c r="O41" s="22">
        <v>208.65</v>
      </c>
    </row>
    <row r="42" ht="15.75" customHeight="1">
      <c r="A42" s="19" t="s">
        <v>65</v>
      </c>
      <c r="B42" s="19" t="s">
        <v>66</v>
      </c>
      <c r="C42" s="19" t="s">
        <v>19</v>
      </c>
      <c r="D42" s="20">
        <v>45748.0</v>
      </c>
      <c r="E42" s="19">
        <v>2838.0</v>
      </c>
      <c r="F42" s="21">
        <v>45783.0</v>
      </c>
      <c r="G42" s="22">
        <v>15857.4</v>
      </c>
      <c r="H42" s="21" t="s">
        <v>83</v>
      </c>
      <c r="I42" s="21">
        <v>45843.0</v>
      </c>
      <c r="J42" s="19" t="s">
        <v>79</v>
      </c>
      <c r="K42" s="19" t="s">
        <v>115</v>
      </c>
      <c r="L42" s="19" t="s">
        <v>116</v>
      </c>
      <c r="M42" s="19" t="s">
        <v>111</v>
      </c>
      <c r="N42" s="28">
        <v>76.0</v>
      </c>
      <c r="O42" s="22">
        <v>208.65</v>
      </c>
    </row>
    <row r="43" ht="15.75" customHeight="1">
      <c r="A43" s="19" t="s">
        <v>65</v>
      </c>
      <c r="B43" s="19" t="s">
        <v>66</v>
      </c>
      <c r="C43" s="19" t="s">
        <v>19</v>
      </c>
      <c r="D43" s="20">
        <v>45748.0</v>
      </c>
      <c r="E43" s="19">
        <v>2838.0</v>
      </c>
      <c r="F43" s="21">
        <v>45783.0</v>
      </c>
      <c r="G43" s="22">
        <v>8346.0</v>
      </c>
      <c r="H43" s="21" t="s">
        <v>83</v>
      </c>
      <c r="I43" s="21">
        <v>45843.0</v>
      </c>
      <c r="J43" s="19" t="s">
        <v>79</v>
      </c>
      <c r="K43" s="19" t="s">
        <v>117</v>
      </c>
      <c r="L43" s="19" t="s">
        <v>118</v>
      </c>
      <c r="M43" s="19" t="s">
        <v>111</v>
      </c>
      <c r="N43" s="28">
        <v>40.0</v>
      </c>
      <c r="O43" s="22">
        <v>208.65</v>
      </c>
    </row>
    <row r="44" ht="15.75" customHeight="1">
      <c r="A44" s="19" t="s">
        <v>65</v>
      </c>
      <c r="B44" s="19" t="s">
        <v>66</v>
      </c>
      <c r="C44" s="19" t="s">
        <v>19</v>
      </c>
      <c r="D44" s="20">
        <v>45748.0</v>
      </c>
      <c r="E44" s="19">
        <v>2838.0</v>
      </c>
      <c r="F44" s="21">
        <v>45783.0</v>
      </c>
      <c r="G44" s="22">
        <v>17474.44</v>
      </c>
      <c r="H44" s="21" t="s">
        <v>83</v>
      </c>
      <c r="I44" s="21">
        <v>45843.0</v>
      </c>
      <c r="J44" s="19" t="s">
        <v>79</v>
      </c>
      <c r="K44" s="19" t="s">
        <v>26</v>
      </c>
      <c r="L44" s="19" t="s">
        <v>27</v>
      </c>
      <c r="M44" s="19" t="s">
        <v>111</v>
      </c>
      <c r="N44" s="28">
        <v>83.75</v>
      </c>
      <c r="O44" s="22">
        <v>208.65</v>
      </c>
    </row>
    <row r="45" ht="15.75" customHeight="1">
      <c r="A45" s="19" t="s">
        <v>65</v>
      </c>
      <c r="B45" s="19" t="s">
        <v>66</v>
      </c>
      <c r="C45" s="19" t="s">
        <v>19</v>
      </c>
      <c r="D45" s="20">
        <v>45748.0</v>
      </c>
      <c r="E45" s="19">
        <v>2838.0</v>
      </c>
      <c r="F45" s="21">
        <v>45783.0</v>
      </c>
      <c r="G45" s="22">
        <v>17617.0</v>
      </c>
      <c r="H45" s="21" t="s">
        <v>83</v>
      </c>
      <c r="I45" s="21">
        <v>45843.0</v>
      </c>
      <c r="J45" s="19" t="s">
        <v>79</v>
      </c>
      <c r="K45" s="19" t="s">
        <v>20</v>
      </c>
      <c r="L45" s="19" t="s">
        <v>21</v>
      </c>
      <c r="M45" s="19" t="s">
        <v>111</v>
      </c>
      <c r="N45" s="28">
        <v>79.0</v>
      </c>
      <c r="O45" s="22">
        <v>223.0</v>
      </c>
    </row>
    <row r="46" ht="15.75" customHeight="1">
      <c r="A46" s="19" t="s">
        <v>65</v>
      </c>
      <c r="B46" s="19" t="s">
        <v>66</v>
      </c>
      <c r="C46" s="19" t="s">
        <v>19</v>
      </c>
      <c r="D46" s="20">
        <v>45748.0</v>
      </c>
      <c r="E46" s="19">
        <v>2838.0</v>
      </c>
      <c r="F46" s="21">
        <v>45783.0</v>
      </c>
      <c r="G46" s="22">
        <v>16948.0</v>
      </c>
      <c r="H46" s="21" t="s">
        <v>83</v>
      </c>
      <c r="I46" s="21">
        <v>45843.0</v>
      </c>
      <c r="J46" s="19" t="s">
        <v>79</v>
      </c>
      <c r="K46" s="19" t="s">
        <v>22</v>
      </c>
      <c r="L46" s="19" t="s">
        <v>23</v>
      </c>
      <c r="M46" s="19" t="s">
        <v>119</v>
      </c>
      <c r="N46" s="28">
        <v>76.0</v>
      </c>
      <c r="O46" s="22">
        <v>223.0</v>
      </c>
    </row>
    <row r="47" ht="15.75" customHeight="1">
      <c r="A47" s="19" t="s">
        <v>65</v>
      </c>
      <c r="B47" s="19" t="s">
        <v>66</v>
      </c>
      <c r="C47" s="19" t="s">
        <v>19</v>
      </c>
      <c r="D47" s="20">
        <v>45748.0</v>
      </c>
      <c r="E47" s="19">
        <v>2838.0</v>
      </c>
      <c r="F47" s="21">
        <v>45783.0</v>
      </c>
      <c r="G47" s="22">
        <v>17474.44</v>
      </c>
      <c r="H47" s="21" t="s">
        <v>83</v>
      </c>
      <c r="I47" s="21">
        <v>45843.0</v>
      </c>
      <c r="J47" s="19" t="s">
        <v>79</v>
      </c>
      <c r="K47" s="19" t="s">
        <v>37</v>
      </c>
      <c r="L47" s="19" t="s">
        <v>38</v>
      </c>
      <c r="M47" s="19" t="s">
        <v>120</v>
      </c>
      <c r="N47" s="28">
        <v>83.75</v>
      </c>
      <c r="O47" s="22">
        <v>208.65</v>
      </c>
    </row>
    <row r="48" ht="15.75" customHeight="1">
      <c r="A48" s="19" t="s">
        <v>65</v>
      </c>
      <c r="B48" s="19" t="s">
        <v>66</v>
      </c>
      <c r="C48" s="19" t="s">
        <v>19</v>
      </c>
      <c r="D48" s="20">
        <v>45748.0</v>
      </c>
      <c r="E48" s="19">
        <v>2838.0</v>
      </c>
      <c r="F48" s="21">
        <v>45783.0</v>
      </c>
      <c r="G48" s="22">
        <v>15857.4</v>
      </c>
      <c r="H48" s="21" t="s">
        <v>83</v>
      </c>
      <c r="I48" s="21">
        <v>45843.0</v>
      </c>
      <c r="J48" s="19" t="s">
        <v>79</v>
      </c>
      <c r="K48" s="19" t="s">
        <v>24</v>
      </c>
      <c r="L48" s="19" t="s">
        <v>25</v>
      </c>
      <c r="M48" s="19" t="s">
        <v>111</v>
      </c>
      <c r="N48" s="28">
        <v>76.0</v>
      </c>
      <c r="O48" s="22">
        <v>208.65</v>
      </c>
    </row>
    <row r="49" ht="15.75" customHeight="1">
      <c r="A49" s="19" t="s">
        <v>65</v>
      </c>
      <c r="B49" s="19" t="s">
        <v>66</v>
      </c>
      <c r="C49" s="19" t="s">
        <v>19</v>
      </c>
      <c r="D49" s="20">
        <v>45748.0</v>
      </c>
      <c r="E49" s="19">
        <v>2838.0</v>
      </c>
      <c r="F49" s="21">
        <v>45783.0</v>
      </c>
      <c r="G49" s="22">
        <v>13328.79</v>
      </c>
      <c r="H49" s="21" t="s">
        <v>83</v>
      </c>
      <c r="I49" s="21">
        <v>45843.0</v>
      </c>
      <c r="J49" s="19" t="s">
        <v>79</v>
      </c>
      <c r="K49" s="19" t="s">
        <v>43</v>
      </c>
      <c r="L49" s="19" t="s">
        <v>44</v>
      </c>
      <c r="M49" s="19" t="s">
        <v>111</v>
      </c>
      <c r="N49" s="28">
        <v>0.0</v>
      </c>
      <c r="O49" s="22">
        <v>0.0</v>
      </c>
    </row>
    <row r="50" ht="15.75" customHeight="1">
      <c r="A50" s="19" t="s">
        <v>65</v>
      </c>
      <c r="B50" s="19" t="s">
        <v>66</v>
      </c>
      <c r="C50" s="19" t="s">
        <v>19</v>
      </c>
      <c r="D50" s="20">
        <v>45748.0</v>
      </c>
      <c r="E50" s="19">
        <v>2838.0</v>
      </c>
      <c r="F50" s="21">
        <v>45783.0</v>
      </c>
      <c r="G50" s="22">
        <v>19508.78</v>
      </c>
      <c r="H50" s="21" t="s">
        <v>83</v>
      </c>
      <c r="I50" s="21">
        <v>45843.0</v>
      </c>
      <c r="J50" s="19" t="s">
        <v>109</v>
      </c>
      <c r="K50" s="19" t="s">
        <v>39</v>
      </c>
      <c r="L50" s="19" t="s">
        <v>40</v>
      </c>
      <c r="M50" s="19" t="s">
        <v>111</v>
      </c>
      <c r="N50" s="28">
        <v>93.5</v>
      </c>
      <c r="O50" s="22">
        <v>208.65</v>
      </c>
    </row>
    <row r="51" ht="15.75" customHeight="1">
      <c r="A51" s="19" t="s">
        <v>65</v>
      </c>
      <c r="B51" s="19" t="s">
        <v>66</v>
      </c>
      <c r="C51" s="19" t="s">
        <v>19</v>
      </c>
      <c r="D51" s="20">
        <v>45748.0</v>
      </c>
      <c r="E51" s="19">
        <v>2838.0</v>
      </c>
      <c r="F51" s="21">
        <v>45783.0</v>
      </c>
      <c r="G51" s="22">
        <v>15857.4</v>
      </c>
      <c r="H51" s="21" t="s">
        <v>83</v>
      </c>
      <c r="I51" s="21">
        <v>45843.0</v>
      </c>
      <c r="J51" s="19" t="s">
        <v>109</v>
      </c>
      <c r="K51" s="19" t="s">
        <v>115</v>
      </c>
      <c r="L51" s="19" t="s">
        <v>116</v>
      </c>
      <c r="M51" s="19" t="s">
        <v>111</v>
      </c>
      <c r="N51" s="28">
        <v>76.0</v>
      </c>
      <c r="O51" s="22">
        <v>208.65</v>
      </c>
    </row>
    <row r="52" ht="15.75" customHeight="1">
      <c r="A52" s="19" t="s">
        <v>65</v>
      </c>
      <c r="B52" s="19" t="s">
        <v>66</v>
      </c>
      <c r="C52" s="19" t="s">
        <v>19</v>
      </c>
      <c r="D52" s="20">
        <v>45748.0</v>
      </c>
      <c r="E52" s="19">
        <v>2838.0</v>
      </c>
      <c r="F52" s="21">
        <v>45783.0</v>
      </c>
      <c r="G52" s="22">
        <v>8346.0</v>
      </c>
      <c r="H52" s="21" t="s">
        <v>83</v>
      </c>
      <c r="I52" s="21">
        <v>45843.0</v>
      </c>
      <c r="J52" s="19" t="s">
        <v>109</v>
      </c>
      <c r="K52" s="19" t="s">
        <v>117</v>
      </c>
      <c r="L52" s="19" t="s">
        <v>118</v>
      </c>
      <c r="M52" s="19" t="s">
        <v>111</v>
      </c>
      <c r="N52" s="28">
        <v>40.0</v>
      </c>
      <c r="O52" s="22">
        <v>208.65</v>
      </c>
    </row>
    <row r="53" ht="15.75" customHeight="1">
      <c r="A53" s="19" t="s">
        <v>65</v>
      </c>
      <c r="B53" s="19" t="s">
        <v>66</v>
      </c>
      <c r="C53" s="19" t="s">
        <v>19</v>
      </c>
      <c r="D53" s="20">
        <v>45748.0</v>
      </c>
      <c r="E53" s="19">
        <v>2838.0</v>
      </c>
      <c r="F53" s="21">
        <v>45783.0</v>
      </c>
      <c r="G53" s="22">
        <v>17474.44</v>
      </c>
      <c r="H53" s="21" t="s">
        <v>83</v>
      </c>
      <c r="I53" s="21">
        <v>45843.0</v>
      </c>
      <c r="J53" s="19" t="s">
        <v>109</v>
      </c>
      <c r="K53" s="19" t="s">
        <v>26</v>
      </c>
      <c r="L53" s="19" t="s">
        <v>27</v>
      </c>
      <c r="M53" s="19" t="s">
        <v>111</v>
      </c>
      <c r="N53" s="28">
        <v>83.75</v>
      </c>
      <c r="O53" s="22">
        <v>208.65</v>
      </c>
    </row>
    <row r="54" ht="15.75" customHeight="1">
      <c r="A54" s="19" t="s">
        <v>65</v>
      </c>
      <c r="B54" s="19" t="s">
        <v>66</v>
      </c>
      <c r="C54" s="19" t="s">
        <v>19</v>
      </c>
      <c r="D54" s="20">
        <v>45748.0</v>
      </c>
      <c r="E54" s="19">
        <v>2838.0</v>
      </c>
      <c r="F54" s="21">
        <v>45783.0</v>
      </c>
      <c r="G54" s="22">
        <v>17617.0</v>
      </c>
      <c r="H54" s="21" t="s">
        <v>83</v>
      </c>
      <c r="I54" s="21">
        <v>45843.0</v>
      </c>
      <c r="J54" s="19" t="s">
        <v>109</v>
      </c>
      <c r="K54" s="19" t="s">
        <v>20</v>
      </c>
      <c r="L54" s="19" t="s">
        <v>21</v>
      </c>
      <c r="M54" s="19" t="s">
        <v>111</v>
      </c>
      <c r="N54" s="28">
        <v>79.0</v>
      </c>
      <c r="O54" s="22">
        <v>223.0</v>
      </c>
    </row>
    <row r="55" ht="15.75" customHeight="1">
      <c r="A55" s="19" t="s">
        <v>65</v>
      </c>
      <c r="B55" s="19" t="s">
        <v>66</v>
      </c>
      <c r="C55" s="19" t="s">
        <v>19</v>
      </c>
      <c r="D55" s="20">
        <v>45748.0</v>
      </c>
      <c r="E55" s="19">
        <v>2838.0</v>
      </c>
      <c r="F55" s="21">
        <v>45783.0</v>
      </c>
      <c r="G55" s="22">
        <v>16948.0</v>
      </c>
      <c r="H55" s="21" t="s">
        <v>83</v>
      </c>
      <c r="I55" s="21">
        <v>45843.0</v>
      </c>
      <c r="J55" s="19" t="s">
        <v>109</v>
      </c>
      <c r="K55" s="19" t="s">
        <v>22</v>
      </c>
      <c r="L55" s="19" t="s">
        <v>23</v>
      </c>
      <c r="M55" s="19" t="s">
        <v>119</v>
      </c>
      <c r="N55" s="28">
        <v>76.0</v>
      </c>
      <c r="O55" s="22">
        <v>223.0</v>
      </c>
    </row>
    <row r="56" ht="15.75" customHeight="1">
      <c r="A56" s="19" t="s">
        <v>65</v>
      </c>
      <c r="B56" s="19" t="s">
        <v>66</v>
      </c>
      <c r="C56" s="19" t="s">
        <v>19</v>
      </c>
      <c r="D56" s="20">
        <v>45748.0</v>
      </c>
      <c r="E56" s="19">
        <v>2838.0</v>
      </c>
      <c r="F56" s="21">
        <v>45783.0</v>
      </c>
      <c r="G56" s="22">
        <v>17474.44</v>
      </c>
      <c r="H56" s="21" t="s">
        <v>83</v>
      </c>
      <c r="I56" s="21">
        <v>45843.0</v>
      </c>
      <c r="J56" s="19" t="s">
        <v>109</v>
      </c>
      <c r="K56" s="19" t="s">
        <v>37</v>
      </c>
      <c r="L56" s="19" t="s">
        <v>38</v>
      </c>
      <c r="M56" s="19" t="s">
        <v>120</v>
      </c>
      <c r="N56" s="28">
        <v>83.75</v>
      </c>
      <c r="O56" s="22">
        <v>208.65</v>
      </c>
    </row>
    <row r="57" ht="15.75" customHeight="1">
      <c r="A57" s="19" t="s">
        <v>65</v>
      </c>
      <c r="B57" s="19" t="s">
        <v>66</v>
      </c>
      <c r="C57" s="19" t="s">
        <v>19</v>
      </c>
      <c r="D57" s="20">
        <v>45748.0</v>
      </c>
      <c r="E57" s="19">
        <v>2838.0</v>
      </c>
      <c r="F57" s="21">
        <v>45783.0</v>
      </c>
      <c r="G57" s="22">
        <v>15857.4</v>
      </c>
      <c r="H57" s="21" t="s">
        <v>83</v>
      </c>
      <c r="I57" s="21">
        <v>45843.0</v>
      </c>
      <c r="J57" s="19" t="s">
        <v>109</v>
      </c>
      <c r="K57" s="19" t="s">
        <v>24</v>
      </c>
      <c r="L57" s="19" t="s">
        <v>25</v>
      </c>
      <c r="M57" s="19" t="s">
        <v>111</v>
      </c>
      <c r="N57" s="28">
        <v>76.0</v>
      </c>
      <c r="O57" s="22">
        <v>208.65</v>
      </c>
    </row>
    <row r="58" ht="15.75" customHeight="1">
      <c r="A58" s="19" t="s">
        <v>65</v>
      </c>
      <c r="B58" s="19" t="s">
        <v>66</v>
      </c>
      <c r="C58" s="19" t="s">
        <v>19</v>
      </c>
      <c r="D58" s="20">
        <v>45748.0</v>
      </c>
      <c r="E58" s="19">
        <v>2838.0</v>
      </c>
      <c r="F58" s="21">
        <v>45783.0</v>
      </c>
      <c r="G58" s="22">
        <v>13328.79</v>
      </c>
      <c r="H58" s="21" t="s">
        <v>83</v>
      </c>
      <c r="I58" s="21">
        <v>45843.0</v>
      </c>
      <c r="J58" s="19" t="s">
        <v>109</v>
      </c>
      <c r="K58" s="19" t="s">
        <v>43</v>
      </c>
      <c r="L58" s="19" t="s">
        <v>44</v>
      </c>
      <c r="M58" s="19" t="s">
        <v>111</v>
      </c>
      <c r="N58" s="28">
        <v>0.0</v>
      </c>
      <c r="O58" s="22">
        <v>0.0</v>
      </c>
    </row>
    <row r="59" ht="15.75" customHeight="1">
      <c r="A59" s="19" t="s">
        <v>51</v>
      </c>
      <c r="B59" s="19" t="s">
        <v>52</v>
      </c>
      <c r="C59" s="19" t="s">
        <v>28</v>
      </c>
      <c r="D59" s="20">
        <v>45748.0</v>
      </c>
      <c r="E59" s="19">
        <v>147368.0</v>
      </c>
      <c r="F59" s="21">
        <v>45789.0</v>
      </c>
      <c r="G59" s="22">
        <v>11332.8</v>
      </c>
      <c r="H59" s="21" t="s">
        <v>83</v>
      </c>
      <c r="I59" s="21">
        <v>45834.0</v>
      </c>
      <c r="J59" s="19" t="s">
        <v>90</v>
      </c>
      <c r="K59" s="19" t="s">
        <v>124</v>
      </c>
      <c r="L59" s="19" t="s">
        <v>125</v>
      </c>
      <c r="M59" s="19" t="s">
        <v>126</v>
      </c>
      <c r="N59" s="28">
        <v>40.0</v>
      </c>
      <c r="O59" s="22">
        <v>283.32</v>
      </c>
    </row>
    <row r="60" ht="15.75" customHeight="1">
      <c r="A60" s="19" t="s">
        <v>51</v>
      </c>
      <c r="B60" s="19" t="s">
        <v>52</v>
      </c>
      <c r="C60" s="19" t="s">
        <v>28</v>
      </c>
      <c r="D60" s="20">
        <v>45748.0</v>
      </c>
      <c r="E60" s="19">
        <v>147368.0</v>
      </c>
      <c r="F60" s="21">
        <v>45789.0</v>
      </c>
      <c r="G60" s="22">
        <v>27309.84</v>
      </c>
      <c r="H60" s="21" t="s">
        <v>83</v>
      </c>
      <c r="I60" s="21">
        <v>45834.0</v>
      </c>
      <c r="J60" s="19" t="s">
        <v>90</v>
      </c>
      <c r="K60" s="19" t="s">
        <v>127</v>
      </c>
      <c r="L60" s="19" t="s">
        <v>128</v>
      </c>
      <c r="M60" s="19" t="s">
        <v>111</v>
      </c>
      <c r="N60" s="28">
        <v>106.0</v>
      </c>
      <c r="O60" s="22">
        <v>257.64</v>
      </c>
    </row>
    <row r="61" ht="15.75" customHeight="1">
      <c r="A61" s="19" t="s">
        <v>51</v>
      </c>
      <c r="B61" s="19" t="s">
        <v>52</v>
      </c>
      <c r="C61" s="19" t="s">
        <v>28</v>
      </c>
      <c r="D61" s="20">
        <v>45748.0</v>
      </c>
      <c r="E61" s="19">
        <v>147368.0</v>
      </c>
      <c r="F61" s="21">
        <v>45789.0</v>
      </c>
      <c r="G61" s="22">
        <v>29370.96</v>
      </c>
      <c r="H61" s="21" t="s">
        <v>83</v>
      </c>
      <c r="I61" s="21">
        <v>45834.0</v>
      </c>
      <c r="J61" s="19" t="s">
        <v>90</v>
      </c>
      <c r="K61" s="19" t="s">
        <v>129</v>
      </c>
      <c r="L61" s="19" t="s">
        <v>130</v>
      </c>
      <c r="M61" s="19" t="s">
        <v>111</v>
      </c>
      <c r="N61" s="28">
        <v>114.0</v>
      </c>
      <c r="O61" s="22">
        <v>257.64</v>
      </c>
    </row>
    <row r="62" ht="15.75" customHeight="1">
      <c r="A62" s="19" t="s">
        <v>51</v>
      </c>
      <c r="B62" s="19" t="s">
        <v>52</v>
      </c>
      <c r="C62" s="19" t="s">
        <v>28</v>
      </c>
      <c r="D62" s="20">
        <v>45748.0</v>
      </c>
      <c r="E62" s="19">
        <v>147368.0</v>
      </c>
      <c r="F62" s="21">
        <v>45789.0</v>
      </c>
      <c r="G62" s="22">
        <v>21680.34</v>
      </c>
      <c r="H62" s="21" t="s">
        <v>83</v>
      </c>
      <c r="I62" s="21">
        <v>45834.0</v>
      </c>
      <c r="J62" s="19" t="s">
        <v>90</v>
      </c>
      <c r="K62" s="19" t="s">
        <v>131</v>
      </c>
      <c r="L62" s="19" t="s">
        <v>132</v>
      </c>
      <c r="M62" s="29" t="s">
        <v>133</v>
      </c>
      <c r="N62" s="28">
        <v>107.0</v>
      </c>
      <c r="O62" s="22">
        <v>202.62</v>
      </c>
    </row>
    <row r="63" ht="15.75" customHeight="1">
      <c r="A63" s="19" t="s">
        <v>51</v>
      </c>
      <c r="B63" s="19" t="s">
        <v>52</v>
      </c>
      <c r="C63" s="19" t="s">
        <v>28</v>
      </c>
      <c r="D63" s="20">
        <v>45748.0</v>
      </c>
      <c r="E63" s="19">
        <v>147373.0</v>
      </c>
      <c r="F63" s="21">
        <v>45789.0</v>
      </c>
      <c r="G63" s="22">
        <v>21072.48</v>
      </c>
      <c r="H63" s="21" t="s">
        <v>83</v>
      </c>
      <c r="I63" s="21">
        <v>45834.0</v>
      </c>
      <c r="J63" s="19" t="s">
        <v>7</v>
      </c>
      <c r="K63" s="19" t="s">
        <v>134</v>
      </c>
      <c r="L63" s="19" t="s">
        <v>135</v>
      </c>
      <c r="M63" s="19" t="s">
        <v>111</v>
      </c>
      <c r="N63" s="28">
        <v>104.0</v>
      </c>
      <c r="O63" s="22">
        <v>202.62</v>
      </c>
    </row>
    <row r="64" ht="15.75" customHeight="1">
      <c r="A64" s="19" t="s">
        <v>51</v>
      </c>
      <c r="B64" s="19" t="s">
        <v>52</v>
      </c>
      <c r="C64" s="19" t="s">
        <v>28</v>
      </c>
      <c r="D64" s="20">
        <v>45748.0</v>
      </c>
      <c r="E64" s="19">
        <v>147373.0</v>
      </c>
      <c r="F64" s="21">
        <v>45789.0</v>
      </c>
      <c r="G64" s="22">
        <v>25124.88</v>
      </c>
      <c r="H64" s="21" t="s">
        <v>83</v>
      </c>
      <c r="I64" s="21">
        <v>45834.0</v>
      </c>
      <c r="J64" s="19" t="s">
        <v>7</v>
      </c>
      <c r="K64" s="19" t="s">
        <v>33</v>
      </c>
      <c r="L64" s="19" t="s">
        <v>112</v>
      </c>
      <c r="M64" s="19" t="s">
        <v>111</v>
      </c>
      <c r="N64" s="28">
        <v>124.0</v>
      </c>
      <c r="O64" s="22">
        <v>202.62</v>
      </c>
    </row>
    <row r="65" ht="15.75" customHeight="1">
      <c r="A65" s="19" t="s">
        <v>51</v>
      </c>
      <c r="B65" s="19" t="s">
        <v>52</v>
      </c>
      <c r="C65" s="19" t="s">
        <v>28</v>
      </c>
      <c r="D65" s="20">
        <v>45748.0</v>
      </c>
      <c r="E65" s="19">
        <v>147373.0</v>
      </c>
      <c r="F65" s="21">
        <v>45789.0</v>
      </c>
      <c r="G65" s="22">
        <v>31731.84</v>
      </c>
      <c r="H65" s="21" t="s">
        <v>83</v>
      </c>
      <c r="I65" s="21">
        <v>45834.0</v>
      </c>
      <c r="J65" s="19" t="s">
        <v>7</v>
      </c>
      <c r="K65" s="19" t="s">
        <v>31</v>
      </c>
      <c r="L65" s="19" t="s">
        <v>113</v>
      </c>
      <c r="M65" s="19" t="s">
        <v>114</v>
      </c>
      <c r="N65" s="28">
        <v>112.0</v>
      </c>
      <c r="O65" s="22">
        <v>283.32</v>
      </c>
    </row>
    <row r="66" ht="15.75" customHeight="1">
      <c r="A66" s="19" t="s">
        <v>65</v>
      </c>
      <c r="B66" s="19" t="s">
        <v>66</v>
      </c>
      <c r="C66" s="19" t="s">
        <v>19</v>
      </c>
      <c r="D66" s="20">
        <v>45778.0</v>
      </c>
      <c r="E66" s="19">
        <v>2887.0</v>
      </c>
      <c r="F66" s="21">
        <v>45811.0</v>
      </c>
      <c r="G66" s="22">
        <v>17996.06</v>
      </c>
      <c r="H66" s="21" t="s">
        <v>85</v>
      </c>
      <c r="I66" s="21">
        <v>45871.0</v>
      </c>
      <c r="J66" s="19" t="s">
        <v>79</v>
      </c>
      <c r="K66" s="19" t="s">
        <v>39</v>
      </c>
      <c r="L66" s="19" t="s">
        <v>40</v>
      </c>
      <c r="M66" s="19" t="s">
        <v>111</v>
      </c>
      <c r="N66" s="28">
        <v>86.25</v>
      </c>
      <c r="O66" s="22">
        <v>208.65</v>
      </c>
    </row>
    <row r="67" ht="15.75" customHeight="1">
      <c r="A67" s="19" t="s">
        <v>65</v>
      </c>
      <c r="B67" s="19" t="s">
        <v>66</v>
      </c>
      <c r="C67" s="19" t="s">
        <v>19</v>
      </c>
      <c r="D67" s="20">
        <v>45778.0</v>
      </c>
      <c r="E67" s="19">
        <v>2887.0</v>
      </c>
      <c r="F67" s="21">
        <v>45811.0</v>
      </c>
      <c r="G67" s="22">
        <v>13770.9</v>
      </c>
      <c r="H67" s="21" t="s">
        <v>85</v>
      </c>
      <c r="I67" s="21">
        <v>45871.0</v>
      </c>
      <c r="J67" s="19" t="s">
        <v>79</v>
      </c>
      <c r="K67" s="19" t="s">
        <v>115</v>
      </c>
      <c r="L67" s="19" t="s">
        <v>116</v>
      </c>
      <c r="M67" s="19" t="s">
        <v>111</v>
      </c>
      <c r="N67" s="28">
        <v>66.0</v>
      </c>
      <c r="O67" s="22">
        <v>208.65</v>
      </c>
    </row>
    <row r="68" ht="15.75" customHeight="1">
      <c r="A68" s="19" t="s">
        <v>65</v>
      </c>
      <c r="B68" s="19" t="s">
        <v>66</v>
      </c>
      <c r="C68" s="19" t="s">
        <v>19</v>
      </c>
      <c r="D68" s="20">
        <v>45778.0</v>
      </c>
      <c r="E68" s="19">
        <v>2887.0</v>
      </c>
      <c r="F68" s="21">
        <v>45811.0</v>
      </c>
      <c r="G68" s="22">
        <v>3755.7</v>
      </c>
      <c r="H68" s="21" t="s">
        <v>85</v>
      </c>
      <c r="I68" s="21">
        <v>45871.0</v>
      </c>
      <c r="J68" s="19" t="s">
        <v>79</v>
      </c>
      <c r="K68" s="19" t="s">
        <v>117</v>
      </c>
      <c r="L68" s="19" t="s">
        <v>118</v>
      </c>
      <c r="M68" s="19" t="s">
        <v>111</v>
      </c>
      <c r="N68" s="28">
        <v>18.0</v>
      </c>
      <c r="O68" s="22">
        <v>208.65</v>
      </c>
    </row>
    <row r="69" ht="15.75" customHeight="1">
      <c r="A69" s="19" t="s">
        <v>65</v>
      </c>
      <c r="B69" s="19" t="s">
        <v>66</v>
      </c>
      <c r="C69" s="19" t="s">
        <v>19</v>
      </c>
      <c r="D69" s="20">
        <v>45778.0</v>
      </c>
      <c r="E69" s="19">
        <v>2887.0</v>
      </c>
      <c r="F69" s="21">
        <v>45811.0</v>
      </c>
      <c r="G69" s="22">
        <v>19300.13</v>
      </c>
      <c r="H69" s="21" t="s">
        <v>85</v>
      </c>
      <c r="I69" s="21">
        <v>45871.0</v>
      </c>
      <c r="J69" s="19" t="s">
        <v>79</v>
      </c>
      <c r="K69" s="19" t="s">
        <v>26</v>
      </c>
      <c r="L69" s="19" t="s">
        <v>27</v>
      </c>
      <c r="M69" s="19" t="s">
        <v>111</v>
      </c>
      <c r="N69" s="28">
        <v>92.5</v>
      </c>
      <c r="O69" s="22">
        <v>208.65</v>
      </c>
    </row>
    <row r="70" ht="15.75" customHeight="1">
      <c r="A70" s="19" t="s">
        <v>65</v>
      </c>
      <c r="B70" s="19" t="s">
        <v>66</v>
      </c>
      <c r="C70" s="19" t="s">
        <v>19</v>
      </c>
      <c r="D70" s="20">
        <v>45778.0</v>
      </c>
      <c r="E70" s="19">
        <v>2887.0</v>
      </c>
      <c r="F70" s="21">
        <v>45811.0</v>
      </c>
      <c r="G70" s="22">
        <v>19456.75</v>
      </c>
      <c r="H70" s="21" t="s">
        <v>85</v>
      </c>
      <c r="I70" s="21">
        <v>45871.0</v>
      </c>
      <c r="J70" s="19" t="s">
        <v>79</v>
      </c>
      <c r="K70" s="19" t="s">
        <v>20</v>
      </c>
      <c r="L70" s="19" t="s">
        <v>21</v>
      </c>
      <c r="M70" s="19" t="s">
        <v>111</v>
      </c>
      <c r="N70" s="28">
        <v>87.25</v>
      </c>
      <c r="O70" s="22">
        <v>223.0</v>
      </c>
    </row>
    <row r="71" ht="15.75" customHeight="1">
      <c r="A71" s="19" t="s">
        <v>65</v>
      </c>
      <c r="B71" s="19" t="s">
        <v>66</v>
      </c>
      <c r="C71" s="19" t="s">
        <v>19</v>
      </c>
      <c r="D71" s="20">
        <v>45778.0</v>
      </c>
      <c r="E71" s="19">
        <v>2887.0</v>
      </c>
      <c r="F71" s="21">
        <v>45811.0</v>
      </c>
      <c r="G71" s="22">
        <v>18732.0</v>
      </c>
      <c r="H71" s="21" t="s">
        <v>85</v>
      </c>
      <c r="I71" s="21">
        <v>45871.0</v>
      </c>
      <c r="J71" s="19" t="s">
        <v>79</v>
      </c>
      <c r="K71" s="19" t="s">
        <v>22</v>
      </c>
      <c r="L71" s="19" t="s">
        <v>23</v>
      </c>
      <c r="M71" s="19" t="s">
        <v>119</v>
      </c>
      <c r="N71" s="28">
        <v>84.0</v>
      </c>
      <c r="O71" s="22">
        <v>223.0</v>
      </c>
    </row>
    <row r="72" ht="15.75" customHeight="1">
      <c r="A72" s="19" t="s">
        <v>65</v>
      </c>
      <c r="B72" s="19" t="s">
        <v>66</v>
      </c>
      <c r="C72" s="19" t="s">
        <v>19</v>
      </c>
      <c r="D72" s="20">
        <v>45778.0</v>
      </c>
      <c r="E72" s="19">
        <v>2887.0</v>
      </c>
      <c r="F72" s="21">
        <v>45811.0</v>
      </c>
      <c r="G72" s="22">
        <v>21386.63</v>
      </c>
      <c r="H72" s="21" t="s">
        <v>85</v>
      </c>
      <c r="I72" s="21">
        <v>45871.0</v>
      </c>
      <c r="J72" s="19" t="s">
        <v>79</v>
      </c>
      <c r="K72" s="19" t="s">
        <v>37</v>
      </c>
      <c r="L72" s="19" t="s">
        <v>38</v>
      </c>
      <c r="M72" s="19" t="s">
        <v>120</v>
      </c>
      <c r="N72" s="28">
        <v>102.5</v>
      </c>
      <c r="O72" s="22">
        <v>208.65</v>
      </c>
    </row>
    <row r="73" ht="15.75" customHeight="1">
      <c r="A73" s="19" t="s">
        <v>65</v>
      </c>
      <c r="B73" s="19" t="s">
        <v>66</v>
      </c>
      <c r="C73" s="19" t="s">
        <v>19</v>
      </c>
      <c r="D73" s="20">
        <v>45778.0</v>
      </c>
      <c r="E73" s="19">
        <v>2887.0</v>
      </c>
      <c r="F73" s="21">
        <v>45811.0</v>
      </c>
      <c r="G73" s="22">
        <v>14188.2</v>
      </c>
      <c r="H73" s="21" t="s">
        <v>85</v>
      </c>
      <c r="I73" s="21">
        <v>45871.0</v>
      </c>
      <c r="J73" s="19" t="s">
        <v>79</v>
      </c>
      <c r="K73" s="19" t="s">
        <v>24</v>
      </c>
      <c r="L73" s="19" t="s">
        <v>25</v>
      </c>
      <c r="M73" s="19" t="s">
        <v>111</v>
      </c>
      <c r="N73" s="28">
        <v>68.0</v>
      </c>
      <c r="O73" s="22">
        <v>208.65</v>
      </c>
    </row>
    <row r="74" ht="15.75" customHeight="1">
      <c r="A74" s="19" t="s">
        <v>65</v>
      </c>
      <c r="B74" s="19" t="s">
        <v>66</v>
      </c>
      <c r="C74" s="19" t="s">
        <v>19</v>
      </c>
      <c r="D74" s="20">
        <v>45778.0</v>
      </c>
      <c r="E74" s="19">
        <v>2887.0</v>
      </c>
      <c r="F74" s="21">
        <v>45811.0</v>
      </c>
      <c r="G74" s="22">
        <v>13328.79</v>
      </c>
      <c r="H74" s="21" t="s">
        <v>85</v>
      </c>
      <c r="I74" s="21">
        <v>45871.0</v>
      </c>
      <c r="J74" s="19" t="s">
        <v>79</v>
      </c>
      <c r="K74" s="19" t="s">
        <v>43</v>
      </c>
      <c r="L74" s="19" t="s">
        <v>44</v>
      </c>
      <c r="M74" s="19" t="s">
        <v>111</v>
      </c>
      <c r="N74" s="28">
        <v>0.0</v>
      </c>
      <c r="O74" s="22">
        <v>0.0</v>
      </c>
    </row>
    <row r="75" ht="15.75" customHeight="1">
      <c r="A75" s="19" t="s">
        <v>65</v>
      </c>
      <c r="B75" s="19" t="s">
        <v>66</v>
      </c>
      <c r="C75" s="19" t="s">
        <v>19</v>
      </c>
      <c r="D75" s="20">
        <v>45778.0</v>
      </c>
      <c r="E75" s="19">
        <v>2887.0</v>
      </c>
      <c r="F75" s="21">
        <v>45811.0</v>
      </c>
      <c r="G75" s="22">
        <v>17996.06</v>
      </c>
      <c r="H75" s="21" t="s">
        <v>85</v>
      </c>
      <c r="I75" s="21">
        <v>45871.0</v>
      </c>
      <c r="J75" s="19" t="s">
        <v>109</v>
      </c>
      <c r="K75" s="19" t="s">
        <v>39</v>
      </c>
      <c r="L75" s="19" t="s">
        <v>40</v>
      </c>
      <c r="M75" s="19" t="s">
        <v>111</v>
      </c>
      <c r="N75" s="28">
        <v>86.25</v>
      </c>
      <c r="O75" s="22">
        <v>208.65</v>
      </c>
    </row>
    <row r="76" ht="15.75" customHeight="1">
      <c r="A76" s="19" t="s">
        <v>65</v>
      </c>
      <c r="B76" s="19" t="s">
        <v>66</v>
      </c>
      <c r="C76" s="19" t="s">
        <v>19</v>
      </c>
      <c r="D76" s="20">
        <v>45778.0</v>
      </c>
      <c r="E76" s="19">
        <v>2887.0</v>
      </c>
      <c r="F76" s="21">
        <v>45811.0</v>
      </c>
      <c r="G76" s="22">
        <v>13770.9</v>
      </c>
      <c r="H76" s="21" t="s">
        <v>85</v>
      </c>
      <c r="I76" s="21">
        <v>45871.0</v>
      </c>
      <c r="J76" s="19" t="s">
        <v>109</v>
      </c>
      <c r="K76" s="19" t="s">
        <v>115</v>
      </c>
      <c r="L76" s="19" t="s">
        <v>116</v>
      </c>
      <c r="M76" s="19" t="s">
        <v>111</v>
      </c>
      <c r="N76" s="28">
        <v>66.0</v>
      </c>
      <c r="O76" s="22">
        <v>208.65</v>
      </c>
    </row>
    <row r="77" ht="15.75" customHeight="1">
      <c r="A77" s="19" t="s">
        <v>65</v>
      </c>
      <c r="B77" s="19" t="s">
        <v>66</v>
      </c>
      <c r="C77" s="19" t="s">
        <v>19</v>
      </c>
      <c r="D77" s="20">
        <v>45778.0</v>
      </c>
      <c r="E77" s="19">
        <v>2887.0</v>
      </c>
      <c r="F77" s="21">
        <v>45811.0</v>
      </c>
      <c r="G77" s="22">
        <v>3755.7</v>
      </c>
      <c r="H77" s="21" t="s">
        <v>85</v>
      </c>
      <c r="I77" s="21">
        <v>45871.0</v>
      </c>
      <c r="J77" s="19" t="s">
        <v>109</v>
      </c>
      <c r="K77" s="19" t="s">
        <v>117</v>
      </c>
      <c r="L77" s="19" t="s">
        <v>118</v>
      </c>
      <c r="M77" s="19" t="s">
        <v>111</v>
      </c>
      <c r="N77" s="28">
        <v>18.0</v>
      </c>
      <c r="O77" s="22">
        <v>208.65</v>
      </c>
    </row>
    <row r="78" ht="15.75" customHeight="1">
      <c r="A78" s="19" t="s">
        <v>65</v>
      </c>
      <c r="B78" s="19" t="s">
        <v>66</v>
      </c>
      <c r="C78" s="19" t="s">
        <v>19</v>
      </c>
      <c r="D78" s="20">
        <v>45778.0</v>
      </c>
      <c r="E78" s="19">
        <v>2887.0</v>
      </c>
      <c r="F78" s="21">
        <v>45811.0</v>
      </c>
      <c r="G78" s="22">
        <v>19300.13</v>
      </c>
      <c r="H78" s="21" t="s">
        <v>85</v>
      </c>
      <c r="I78" s="21">
        <v>45871.0</v>
      </c>
      <c r="J78" s="19" t="s">
        <v>109</v>
      </c>
      <c r="K78" s="19" t="s">
        <v>26</v>
      </c>
      <c r="L78" s="19" t="s">
        <v>27</v>
      </c>
      <c r="M78" s="19" t="s">
        <v>111</v>
      </c>
      <c r="N78" s="28">
        <v>92.5</v>
      </c>
      <c r="O78" s="22">
        <v>208.65</v>
      </c>
    </row>
    <row r="79" ht="15.75" customHeight="1">
      <c r="A79" s="19" t="s">
        <v>65</v>
      </c>
      <c r="B79" s="19" t="s">
        <v>66</v>
      </c>
      <c r="C79" s="19" t="s">
        <v>19</v>
      </c>
      <c r="D79" s="20">
        <v>45778.0</v>
      </c>
      <c r="E79" s="19">
        <v>2887.0</v>
      </c>
      <c r="F79" s="21">
        <v>45811.0</v>
      </c>
      <c r="G79" s="22">
        <v>19456.75</v>
      </c>
      <c r="H79" s="21" t="s">
        <v>85</v>
      </c>
      <c r="I79" s="21">
        <v>45871.0</v>
      </c>
      <c r="J79" s="19" t="s">
        <v>109</v>
      </c>
      <c r="K79" s="19" t="s">
        <v>20</v>
      </c>
      <c r="L79" s="19" t="s">
        <v>21</v>
      </c>
      <c r="M79" s="19" t="s">
        <v>111</v>
      </c>
      <c r="N79" s="28">
        <v>87.25</v>
      </c>
      <c r="O79" s="22">
        <v>223.0</v>
      </c>
    </row>
    <row r="80" ht="15.75" customHeight="1">
      <c r="A80" s="19" t="s">
        <v>65</v>
      </c>
      <c r="B80" s="19" t="s">
        <v>66</v>
      </c>
      <c r="C80" s="19" t="s">
        <v>19</v>
      </c>
      <c r="D80" s="20">
        <v>45778.0</v>
      </c>
      <c r="E80" s="19">
        <v>2887.0</v>
      </c>
      <c r="F80" s="21">
        <v>45811.0</v>
      </c>
      <c r="G80" s="22">
        <v>18732.0</v>
      </c>
      <c r="H80" s="21" t="s">
        <v>85</v>
      </c>
      <c r="I80" s="21">
        <v>45871.0</v>
      </c>
      <c r="J80" s="19" t="s">
        <v>109</v>
      </c>
      <c r="K80" s="19" t="s">
        <v>22</v>
      </c>
      <c r="L80" s="19" t="s">
        <v>23</v>
      </c>
      <c r="M80" s="19" t="s">
        <v>119</v>
      </c>
      <c r="N80" s="28">
        <v>84.0</v>
      </c>
      <c r="O80" s="22">
        <v>223.0</v>
      </c>
    </row>
    <row r="81" ht="15.75" customHeight="1">
      <c r="A81" s="19" t="s">
        <v>65</v>
      </c>
      <c r="B81" s="19" t="s">
        <v>66</v>
      </c>
      <c r="C81" s="19" t="s">
        <v>19</v>
      </c>
      <c r="D81" s="20">
        <v>45778.0</v>
      </c>
      <c r="E81" s="19">
        <v>2887.0</v>
      </c>
      <c r="F81" s="21">
        <v>45811.0</v>
      </c>
      <c r="G81" s="22">
        <v>21386.63</v>
      </c>
      <c r="H81" s="21" t="s">
        <v>85</v>
      </c>
      <c r="I81" s="21">
        <v>45871.0</v>
      </c>
      <c r="J81" s="19" t="s">
        <v>109</v>
      </c>
      <c r="K81" s="19" t="s">
        <v>37</v>
      </c>
      <c r="L81" s="19" t="s">
        <v>38</v>
      </c>
      <c r="M81" s="19" t="s">
        <v>120</v>
      </c>
      <c r="N81" s="28">
        <v>102.5</v>
      </c>
      <c r="O81" s="22">
        <v>208.65</v>
      </c>
    </row>
    <row r="82" ht="15.75" customHeight="1">
      <c r="A82" s="19" t="s">
        <v>65</v>
      </c>
      <c r="B82" s="19" t="s">
        <v>66</v>
      </c>
      <c r="C82" s="19" t="s">
        <v>19</v>
      </c>
      <c r="D82" s="20">
        <v>45778.0</v>
      </c>
      <c r="E82" s="19">
        <v>2887.0</v>
      </c>
      <c r="F82" s="21">
        <v>45811.0</v>
      </c>
      <c r="G82" s="22">
        <v>14188.2</v>
      </c>
      <c r="H82" s="21" t="s">
        <v>85</v>
      </c>
      <c r="I82" s="21">
        <v>45871.0</v>
      </c>
      <c r="J82" s="19" t="s">
        <v>109</v>
      </c>
      <c r="K82" s="19" t="s">
        <v>24</v>
      </c>
      <c r="L82" s="19" t="s">
        <v>25</v>
      </c>
      <c r="M82" s="19" t="s">
        <v>111</v>
      </c>
      <c r="N82" s="28">
        <v>68.0</v>
      </c>
      <c r="O82" s="22">
        <v>208.65</v>
      </c>
    </row>
    <row r="83" ht="15.75" customHeight="1">
      <c r="A83" s="19" t="s">
        <v>65</v>
      </c>
      <c r="B83" s="19" t="s">
        <v>66</v>
      </c>
      <c r="C83" s="19" t="s">
        <v>19</v>
      </c>
      <c r="D83" s="20">
        <v>45778.0</v>
      </c>
      <c r="E83" s="19">
        <v>2887.0</v>
      </c>
      <c r="F83" s="21">
        <v>45811.0</v>
      </c>
      <c r="G83" s="22">
        <v>13328.79</v>
      </c>
      <c r="H83" s="21" t="s">
        <v>85</v>
      </c>
      <c r="I83" s="21">
        <v>45871.0</v>
      </c>
      <c r="J83" s="19" t="s">
        <v>109</v>
      </c>
      <c r="K83" s="19" t="s">
        <v>43</v>
      </c>
      <c r="L83" s="19" t="s">
        <v>44</v>
      </c>
      <c r="M83" s="19" t="s">
        <v>111</v>
      </c>
      <c r="N83" s="28">
        <v>0.0</v>
      </c>
      <c r="O83" s="22">
        <v>0.0</v>
      </c>
    </row>
    <row r="84" ht="15.75" customHeight="1">
      <c r="A84" s="19" t="s">
        <v>51</v>
      </c>
      <c r="B84" s="19" t="s">
        <v>52</v>
      </c>
      <c r="C84" s="19" t="s">
        <v>28</v>
      </c>
      <c r="D84" s="20">
        <v>45778.0</v>
      </c>
      <c r="E84" s="19">
        <v>148462.0</v>
      </c>
      <c r="F84" s="21">
        <v>45819.0</v>
      </c>
      <c r="G84" s="22">
        <v>34040.16</v>
      </c>
      <c r="H84" s="21" t="s">
        <v>85</v>
      </c>
      <c r="I84" s="21">
        <v>45864.0</v>
      </c>
      <c r="J84" s="19" t="s">
        <v>7</v>
      </c>
      <c r="K84" s="19" t="s">
        <v>134</v>
      </c>
      <c r="L84" s="19" t="s">
        <v>135</v>
      </c>
      <c r="M84" s="19" t="s">
        <v>111</v>
      </c>
      <c r="N84" s="28">
        <v>168.0</v>
      </c>
      <c r="O84" s="22">
        <v>202.62</v>
      </c>
    </row>
    <row r="85" ht="15.75" customHeight="1">
      <c r="A85" s="19" t="s">
        <v>51</v>
      </c>
      <c r="B85" s="19" t="s">
        <v>52</v>
      </c>
      <c r="C85" s="19" t="s">
        <v>28</v>
      </c>
      <c r="D85" s="20">
        <v>45778.0</v>
      </c>
      <c r="E85" s="19">
        <v>148462.0</v>
      </c>
      <c r="F85" s="21">
        <v>45819.0</v>
      </c>
      <c r="G85" s="22">
        <v>38295.18</v>
      </c>
      <c r="H85" s="21" t="s">
        <v>85</v>
      </c>
      <c r="I85" s="21">
        <v>45864.0</v>
      </c>
      <c r="J85" s="19" t="s">
        <v>7</v>
      </c>
      <c r="K85" s="19" t="s">
        <v>33</v>
      </c>
      <c r="L85" s="19" t="s">
        <v>112</v>
      </c>
      <c r="M85" s="19" t="s">
        <v>111</v>
      </c>
      <c r="N85" s="28">
        <v>189.0</v>
      </c>
      <c r="O85" s="22">
        <v>202.62</v>
      </c>
    </row>
    <row r="86" ht="15.75" customHeight="1">
      <c r="A86" s="19" t="s">
        <v>51</v>
      </c>
      <c r="B86" s="19" t="s">
        <v>52</v>
      </c>
      <c r="C86" s="19" t="s">
        <v>28</v>
      </c>
      <c r="D86" s="20">
        <v>45778.0</v>
      </c>
      <c r="E86" s="19">
        <v>148462.0</v>
      </c>
      <c r="F86" s="21">
        <v>45819.0</v>
      </c>
      <c r="G86" s="22">
        <v>49297.68</v>
      </c>
      <c r="H86" s="21" t="s">
        <v>85</v>
      </c>
      <c r="I86" s="21">
        <v>45864.0</v>
      </c>
      <c r="J86" s="19" t="s">
        <v>7</v>
      </c>
      <c r="K86" s="19" t="s">
        <v>31</v>
      </c>
      <c r="L86" s="19" t="s">
        <v>113</v>
      </c>
      <c r="M86" s="19" t="s">
        <v>114</v>
      </c>
      <c r="N86" s="28">
        <v>174.0</v>
      </c>
      <c r="O86" s="22">
        <v>283.32</v>
      </c>
    </row>
    <row r="87" ht="15.75" customHeight="1">
      <c r="A87" s="19" t="s">
        <v>51</v>
      </c>
      <c r="B87" s="19" t="s">
        <v>52</v>
      </c>
      <c r="C87" s="19" t="s">
        <v>28</v>
      </c>
      <c r="D87" s="20">
        <v>45778.0</v>
      </c>
      <c r="E87" s="19">
        <v>148457.0</v>
      </c>
      <c r="F87" s="21">
        <v>45819.0</v>
      </c>
      <c r="G87" s="22">
        <v>48731.04</v>
      </c>
      <c r="H87" s="21" t="s">
        <v>85</v>
      </c>
      <c r="I87" s="21">
        <v>45864.0</v>
      </c>
      <c r="J87" s="19" t="s">
        <v>90</v>
      </c>
      <c r="K87" s="19" t="s">
        <v>122</v>
      </c>
      <c r="L87" s="19" t="s">
        <v>123</v>
      </c>
      <c r="M87" s="19" t="s">
        <v>114</v>
      </c>
      <c r="N87" s="28">
        <v>172.0</v>
      </c>
      <c r="O87" s="22">
        <v>283.32</v>
      </c>
    </row>
    <row r="88" ht="15.75" customHeight="1">
      <c r="A88" s="19" t="s">
        <v>51</v>
      </c>
      <c r="B88" s="19" t="s">
        <v>52</v>
      </c>
      <c r="C88" s="19" t="s">
        <v>28</v>
      </c>
      <c r="D88" s="20">
        <v>45778.0</v>
      </c>
      <c r="E88" s="19">
        <v>148457.0</v>
      </c>
      <c r="F88" s="21">
        <v>45819.0</v>
      </c>
      <c r="G88" s="22">
        <v>11332.8</v>
      </c>
      <c r="H88" s="21" t="s">
        <v>85</v>
      </c>
      <c r="I88" s="21">
        <v>45864.0</v>
      </c>
      <c r="J88" s="19" t="s">
        <v>90</v>
      </c>
      <c r="K88" s="19" t="s">
        <v>124</v>
      </c>
      <c r="L88" s="19" t="s">
        <v>125</v>
      </c>
      <c r="M88" s="19" t="s">
        <v>126</v>
      </c>
      <c r="N88" s="28">
        <v>40.0</v>
      </c>
      <c r="O88" s="22">
        <v>283.32</v>
      </c>
    </row>
    <row r="89" ht="15.75" customHeight="1">
      <c r="A89" s="19" t="s">
        <v>51</v>
      </c>
      <c r="B89" s="19" t="s">
        <v>52</v>
      </c>
      <c r="C89" s="19" t="s">
        <v>28</v>
      </c>
      <c r="D89" s="20">
        <v>45778.0</v>
      </c>
      <c r="E89" s="19">
        <v>148457.0</v>
      </c>
      <c r="F89" s="21">
        <v>45819.0</v>
      </c>
      <c r="G89" s="22">
        <v>47148.12</v>
      </c>
      <c r="H89" s="21" t="s">
        <v>85</v>
      </c>
      <c r="I89" s="21">
        <v>45864.0</v>
      </c>
      <c r="J89" s="19" t="s">
        <v>90</v>
      </c>
      <c r="K89" s="19" t="s">
        <v>127</v>
      </c>
      <c r="L89" s="19" t="s">
        <v>128</v>
      </c>
      <c r="M89" s="19" t="s">
        <v>111</v>
      </c>
      <c r="N89" s="28">
        <v>183.0</v>
      </c>
      <c r="O89" s="22">
        <v>257.64</v>
      </c>
    </row>
    <row r="90" ht="15.75" customHeight="1">
      <c r="A90" s="19" t="s">
        <v>51</v>
      </c>
      <c r="B90" s="19" t="s">
        <v>52</v>
      </c>
      <c r="C90" s="19" t="s">
        <v>28</v>
      </c>
      <c r="D90" s="20">
        <v>45778.0</v>
      </c>
      <c r="E90" s="19">
        <v>148457.0</v>
      </c>
      <c r="F90" s="21">
        <v>45819.0</v>
      </c>
      <c r="G90" s="22">
        <v>51270.36</v>
      </c>
      <c r="H90" s="21" t="s">
        <v>85</v>
      </c>
      <c r="I90" s="21">
        <v>45864.0</v>
      </c>
      <c r="J90" s="19" t="s">
        <v>90</v>
      </c>
      <c r="K90" s="19" t="s">
        <v>129</v>
      </c>
      <c r="L90" s="19" t="s">
        <v>130</v>
      </c>
      <c r="M90" s="19" t="s">
        <v>111</v>
      </c>
      <c r="N90" s="28">
        <v>199.0</v>
      </c>
      <c r="O90" s="22">
        <v>257.64</v>
      </c>
    </row>
    <row r="91" ht="15.75" customHeight="1">
      <c r="A91" s="19" t="s">
        <v>51</v>
      </c>
      <c r="B91" s="19" t="s">
        <v>52</v>
      </c>
      <c r="C91" s="19" t="s">
        <v>28</v>
      </c>
      <c r="D91" s="20">
        <v>45778.0</v>
      </c>
      <c r="E91" s="19">
        <v>148457.0</v>
      </c>
      <c r="F91" s="21">
        <v>45819.0</v>
      </c>
      <c r="G91" s="22">
        <v>17425.32</v>
      </c>
      <c r="H91" s="21" t="s">
        <v>85</v>
      </c>
      <c r="I91" s="21">
        <v>45864.0</v>
      </c>
      <c r="J91" s="19" t="s">
        <v>90</v>
      </c>
      <c r="K91" s="19" t="s">
        <v>131</v>
      </c>
      <c r="L91" s="19" t="s">
        <v>132</v>
      </c>
      <c r="M91" s="29" t="s">
        <v>133</v>
      </c>
      <c r="N91" s="28">
        <v>86.0</v>
      </c>
      <c r="O91" s="22">
        <v>202.62</v>
      </c>
    </row>
    <row r="92" ht="15.75" customHeight="1">
      <c r="A92" s="19" t="s">
        <v>51</v>
      </c>
      <c r="B92" s="19" t="s">
        <v>52</v>
      </c>
      <c r="C92" s="19" t="s">
        <v>28</v>
      </c>
      <c r="D92" s="20">
        <v>45778.0</v>
      </c>
      <c r="E92" s="19">
        <v>148457.0</v>
      </c>
      <c r="F92" s="21">
        <v>45819.0</v>
      </c>
      <c r="G92" s="22">
        <v>24314.4</v>
      </c>
      <c r="H92" s="21" t="s">
        <v>85</v>
      </c>
      <c r="I92" s="21">
        <v>45864.0</v>
      </c>
      <c r="J92" s="19" t="s">
        <v>90</v>
      </c>
      <c r="K92" s="19" t="s">
        <v>131</v>
      </c>
      <c r="L92" s="19" t="s">
        <v>132</v>
      </c>
      <c r="M92" s="29" t="s">
        <v>133</v>
      </c>
      <c r="N92" s="28">
        <v>120.0</v>
      </c>
      <c r="O92" s="22">
        <v>202.62</v>
      </c>
    </row>
    <row r="93" ht="15.75" customHeight="1">
      <c r="A93" s="19" t="s">
        <v>62</v>
      </c>
      <c r="B93" s="19" t="s">
        <v>63</v>
      </c>
      <c r="C93" s="19" t="s">
        <v>64</v>
      </c>
      <c r="D93" s="20">
        <v>45778.0</v>
      </c>
      <c r="E93" s="19">
        <v>883.0</v>
      </c>
      <c r="F93" s="21">
        <v>45818.0</v>
      </c>
      <c r="G93" s="22">
        <v>38556.0</v>
      </c>
      <c r="H93" s="21" t="s">
        <v>85</v>
      </c>
      <c r="I93" s="21">
        <v>45848.0</v>
      </c>
      <c r="J93" s="19" t="s">
        <v>7</v>
      </c>
      <c r="K93" s="19" t="s">
        <v>139</v>
      </c>
      <c r="L93" s="19" t="s">
        <v>140</v>
      </c>
      <c r="M93" s="19" t="s">
        <v>133</v>
      </c>
      <c r="N93" s="28">
        <v>168.0</v>
      </c>
      <c r="O93" s="22">
        <v>229.5</v>
      </c>
    </row>
    <row r="94" ht="15.75" customHeight="1">
      <c r="A94" s="19" t="s">
        <v>62</v>
      </c>
      <c r="B94" s="19" t="s">
        <v>63</v>
      </c>
      <c r="C94" s="19" t="s">
        <v>64</v>
      </c>
      <c r="D94" s="20">
        <v>45778.0</v>
      </c>
      <c r="E94" s="19">
        <v>884.0</v>
      </c>
      <c r="F94" s="21">
        <v>45818.0</v>
      </c>
      <c r="G94" s="22">
        <v>54864.69</v>
      </c>
      <c r="H94" s="21" t="s">
        <v>85</v>
      </c>
      <c r="I94" s="21">
        <v>45848.0</v>
      </c>
      <c r="J94" s="19" t="s">
        <v>7</v>
      </c>
      <c r="K94" s="19" t="s">
        <v>136</v>
      </c>
      <c r="L94" s="19" t="s">
        <v>137</v>
      </c>
      <c r="M94" s="19" t="s">
        <v>138</v>
      </c>
      <c r="N94" s="28">
        <v>223.0</v>
      </c>
      <c r="O94" s="22">
        <v>246.03</v>
      </c>
    </row>
    <row r="95" ht="15.75" customHeight="1">
      <c r="A95" s="19" t="s">
        <v>51</v>
      </c>
      <c r="B95" s="19" t="s">
        <v>52</v>
      </c>
      <c r="C95" s="19" t="s">
        <v>28</v>
      </c>
      <c r="D95" s="20">
        <v>45809.0</v>
      </c>
      <c r="E95" s="19">
        <v>149204.0</v>
      </c>
      <c r="F95" s="21">
        <v>45846.0</v>
      </c>
      <c r="G95" s="22">
        <v>34040.16</v>
      </c>
      <c r="H95" s="21" t="s">
        <v>93</v>
      </c>
      <c r="I95" s="21">
        <v>45891.0</v>
      </c>
      <c r="J95" s="19" t="s">
        <v>7</v>
      </c>
      <c r="K95" s="19" t="s">
        <v>134</v>
      </c>
      <c r="L95" s="19" t="s">
        <v>135</v>
      </c>
      <c r="M95" s="19" t="s">
        <v>111</v>
      </c>
      <c r="N95" s="28">
        <v>168.0</v>
      </c>
      <c r="O95" s="22">
        <v>202.62</v>
      </c>
    </row>
    <row r="96" ht="15.75" customHeight="1">
      <c r="A96" s="19" t="s">
        <v>51</v>
      </c>
      <c r="B96" s="19" t="s">
        <v>52</v>
      </c>
      <c r="C96" s="19" t="s">
        <v>28</v>
      </c>
      <c r="D96" s="20">
        <v>45809.0</v>
      </c>
      <c r="E96" s="19">
        <v>149204.0</v>
      </c>
      <c r="F96" s="21">
        <v>45846.0</v>
      </c>
      <c r="G96" s="22">
        <v>34242.78</v>
      </c>
      <c r="H96" s="21" t="s">
        <v>93</v>
      </c>
      <c r="I96" s="21">
        <v>45891.0</v>
      </c>
      <c r="J96" s="19" t="s">
        <v>7</v>
      </c>
      <c r="K96" s="19" t="s">
        <v>33</v>
      </c>
      <c r="L96" s="19" t="s">
        <v>112</v>
      </c>
      <c r="M96" s="19" t="s">
        <v>111</v>
      </c>
      <c r="N96" s="28">
        <v>169.0</v>
      </c>
      <c r="O96" s="22">
        <v>202.62</v>
      </c>
    </row>
    <row r="97" ht="15.75" customHeight="1">
      <c r="A97" s="19" t="s">
        <v>51</v>
      </c>
      <c r="B97" s="19" t="s">
        <v>52</v>
      </c>
      <c r="C97" s="19" t="s">
        <v>28</v>
      </c>
      <c r="D97" s="20">
        <v>45809.0</v>
      </c>
      <c r="E97" s="19">
        <v>149204.0</v>
      </c>
      <c r="F97" s="21">
        <v>45846.0</v>
      </c>
      <c r="G97" s="22">
        <v>47597.76</v>
      </c>
      <c r="H97" s="21" t="s">
        <v>93</v>
      </c>
      <c r="I97" s="21">
        <v>45891.0</v>
      </c>
      <c r="J97" s="19" t="s">
        <v>7</v>
      </c>
      <c r="K97" s="19" t="s">
        <v>31</v>
      </c>
      <c r="L97" s="19" t="s">
        <v>113</v>
      </c>
      <c r="M97" s="19" t="s">
        <v>114</v>
      </c>
      <c r="N97" s="28">
        <v>168.0</v>
      </c>
      <c r="O97" s="22">
        <v>283.32</v>
      </c>
    </row>
    <row r="98" ht="15.75" customHeight="1">
      <c r="A98" s="19" t="s">
        <v>62</v>
      </c>
      <c r="B98" s="19" t="s">
        <v>63</v>
      </c>
      <c r="C98" s="19" t="s">
        <v>64</v>
      </c>
      <c r="D98" s="20">
        <v>45809.0</v>
      </c>
      <c r="E98" s="19">
        <v>959.0</v>
      </c>
      <c r="F98" s="21">
        <v>45849.0</v>
      </c>
      <c r="G98" s="22">
        <v>38556.0</v>
      </c>
      <c r="H98" s="21" t="s">
        <v>93</v>
      </c>
      <c r="I98" s="21">
        <v>45880.0</v>
      </c>
      <c r="J98" s="19" t="s">
        <v>7</v>
      </c>
      <c r="K98" s="19" t="s">
        <v>139</v>
      </c>
      <c r="L98" s="19" t="s">
        <v>140</v>
      </c>
      <c r="M98" s="19" t="s">
        <v>133</v>
      </c>
      <c r="N98" s="28">
        <v>168.0</v>
      </c>
      <c r="O98" s="22">
        <v>229.5</v>
      </c>
    </row>
    <row r="99" ht="15.75" customHeight="1">
      <c r="A99" s="19" t="s">
        <v>62</v>
      </c>
      <c r="B99" s="19" t="s">
        <v>63</v>
      </c>
      <c r="C99" s="19" t="s">
        <v>64</v>
      </c>
      <c r="D99" s="20">
        <v>45809.0</v>
      </c>
      <c r="E99" s="19">
        <v>960.0</v>
      </c>
      <c r="F99" s="21">
        <v>45849.0</v>
      </c>
      <c r="G99" s="22">
        <v>41333.04</v>
      </c>
      <c r="H99" s="21" t="s">
        <v>93</v>
      </c>
      <c r="I99" s="21">
        <v>45880.0</v>
      </c>
      <c r="J99" s="19" t="s">
        <v>7</v>
      </c>
      <c r="K99" s="19" t="s">
        <v>136</v>
      </c>
      <c r="L99" s="19" t="s">
        <v>137</v>
      </c>
      <c r="M99" s="19" t="s">
        <v>138</v>
      </c>
      <c r="N99" s="28">
        <v>168.0</v>
      </c>
      <c r="O99" s="22">
        <v>246.03</v>
      </c>
    </row>
    <row r="100" ht="15.75" customHeight="1">
      <c r="A100" s="19" t="s">
        <v>51</v>
      </c>
      <c r="B100" s="19" t="s">
        <v>52</v>
      </c>
      <c r="C100" s="19" t="s">
        <v>28</v>
      </c>
      <c r="D100" s="20">
        <v>45809.0</v>
      </c>
      <c r="E100" s="19">
        <v>149200.0</v>
      </c>
      <c r="F100" s="21">
        <v>45846.0</v>
      </c>
      <c r="G100" s="22">
        <v>6799.68</v>
      </c>
      <c r="H100" s="21" t="s">
        <v>93</v>
      </c>
      <c r="I100" s="21">
        <v>45891.0</v>
      </c>
      <c r="J100" s="19" t="s">
        <v>7</v>
      </c>
      <c r="K100" s="19" t="s">
        <v>124</v>
      </c>
      <c r="L100" s="19" t="s">
        <v>125</v>
      </c>
      <c r="M100" s="19" t="s">
        <v>126</v>
      </c>
      <c r="N100" s="28">
        <v>24.0</v>
      </c>
      <c r="O100" s="22">
        <v>283.32</v>
      </c>
    </row>
    <row r="101" ht="15.75" customHeight="1">
      <c r="A101" s="19" t="s">
        <v>51</v>
      </c>
      <c r="B101" s="19" t="s">
        <v>52</v>
      </c>
      <c r="C101" s="19" t="s">
        <v>28</v>
      </c>
      <c r="D101" s="20">
        <v>45809.0</v>
      </c>
      <c r="E101" s="19">
        <v>149200.0</v>
      </c>
      <c r="F101" s="21">
        <v>45846.0</v>
      </c>
      <c r="G101" s="22">
        <v>27309.84</v>
      </c>
      <c r="H101" s="21" t="s">
        <v>93</v>
      </c>
      <c r="I101" s="21">
        <v>45891.0</v>
      </c>
      <c r="J101" s="19" t="s">
        <v>7</v>
      </c>
      <c r="K101" s="19" t="s">
        <v>127</v>
      </c>
      <c r="L101" s="19" t="s">
        <v>128</v>
      </c>
      <c r="M101" s="19" t="s">
        <v>111</v>
      </c>
      <c r="N101" s="28">
        <v>106.0</v>
      </c>
      <c r="O101" s="22">
        <v>257.64</v>
      </c>
    </row>
    <row r="102" ht="15.75" customHeight="1">
      <c r="A102" s="19" t="s">
        <v>51</v>
      </c>
      <c r="B102" s="19" t="s">
        <v>52</v>
      </c>
      <c r="C102" s="19" t="s">
        <v>28</v>
      </c>
      <c r="D102" s="20">
        <v>45809.0</v>
      </c>
      <c r="E102" s="19">
        <v>149200.0</v>
      </c>
      <c r="F102" s="21">
        <v>45846.0</v>
      </c>
      <c r="G102" s="22">
        <v>43283.52</v>
      </c>
      <c r="H102" s="21" t="s">
        <v>93</v>
      </c>
      <c r="I102" s="21">
        <v>45891.0</v>
      </c>
      <c r="J102" s="19" t="s">
        <v>14</v>
      </c>
      <c r="K102" s="19" t="s">
        <v>129</v>
      </c>
      <c r="L102" s="19" t="s">
        <v>130</v>
      </c>
      <c r="M102" s="19" t="s">
        <v>111</v>
      </c>
      <c r="N102" s="28">
        <v>168.0</v>
      </c>
      <c r="O102" s="22">
        <v>257.64</v>
      </c>
    </row>
    <row r="103" ht="15.75" customHeight="1">
      <c r="A103" s="19" t="s">
        <v>51</v>
      </c>
      <c r="B103" s="19" t="s">
        <v>52</v>
      </c>
      <c r="C103" s="19" t="s">
        <v>28</v>
      </c>
      <c r="D103" s="20">
        <v>45809.0</v>
      </c>
      <c r="E103" s="19">
        <v>149200.0</v>
      </c>
      <c r="F103" s="21">
        <v>45846.0</v>
      </c>
      <c r="G103" s="22">
        <v>27556.32</v>
      </c>
      <c r="H103" s="21" t="s">
        <v>93</v>
      </c>
      <c r="I103" s="21">
        <v>45891.0</v>
      </c>
      <c r="J103" s="19" t="s">
        <v>14</v>
      </c>
      <c r="K103" s="19" t="s">
        <v>131</v>
      </c>
      <c r="L103" s="19" t="s">
        <v>132</v>
      </c>
      <c r="M103" s="29" t="s">
        <v>133</v>
      </c>
      <c r="N103" s="28">
        <v>136.0</v>
      </c>
      <c r="O103" s="22">
        <v>202.62</v>
      </c>
    </row>
    <row r="104" ht="15.75" customHeight="1">
      <c r="A104" s="19" t="s">
        <v>51</v>
      </c>
      <c r="B104" s="19" t="s">
        <v>52</v>
      </c>
      <c r="C104" s="19" t="s">
        <v>28</v>
      </c>
      <c r="D104" s="20">
        <v>45809.0</v>
      </c>
      <c r="E104" s="19">
        <v>149207.0</v>
      </c>
      <c r="F104" s="21">
        <v>45846.0</v>
      </c>
      <c r="G104" s="22">
        <v>52130.88</v>
      </c>
      <c r="H104" s="21" t="s">
        <v>93</v>
      </c>
      <c r="I104" s="21">
        <v>45891.0</v>
      </c>
      <c r="J104" s="19" t="s">
        <v>14</v>
      </c>
      <c r="K104" s="19" t="s">
        <v>122</v>
      </c>
      <c r="L104" s="19" t="s">
        <v>123</v>
      </c>
      <c r="M104" s="19" t="s">
        <v>114</v>
      </c>
      <c r="N104" s="28">
        <v>184.0</v>
      </c>
      <c r="O104" s="22">
        <v>283.32</v>
      </c>
    </row>
    <row r="105" ht="15.75" customHeight="1">
      <c r="A105" s="19" t="s">
        <v>65</v>
      </c>
      <c r="B105" s="19" t="s">
        <v>66</v>
      </c>
      <c r="C105" s="19" t="s">
        <v>19</v>
      </c>
      <c r="D105" s="20">
        <v>45809.0</v>
      </c>
      <c r="E105" s="19">
        <v>2937.0</v>
      </c>
      <c r="F105" s="21">
        <v>45845.0</v>
      </c>
      <c r="G105" s="22">
        <v>36513.75</v>
      </c>
      <c r="H105" s="21" t="s">
        <v>93</v>
      </c>
      <c r="I105" s="21">
        <v>45905.0</v>
      </c>
      <c r="J105" s="19" t="s">
        <v>7</v>
      </c>
      <c r="K105" s="19" t="s">
        <v>26</v>
      </c>
      <c r="L105" s="19" t="s">
        <v>27</v>
      </c>
      <c r="M105" s="19" t="s">
        <v>111</v>
      </c>
      <c r="N105" s="28">
        <v>175.0</v>
      </c>
      <c r="O105" s="22">
        <v>208.65</v>
      </c>
    </row>
    <row r="106" ht="15.75" customHeight="1">
      <c r="A106" s="19" t="s">
        <v>65</v>
      </c>
      <c r="B106" s="19" t="s">
        <v>66</v>
      </c>
      <c r="C106" s="19" t="s">
        <v>19</v>
      </c>
      <c r="D106" s="20">
        <v>45809.0</v>
      </c>
      <c r="E106" s="19">
        <v>2937.0</v>
      </c>
      <c r="F106" s="21">
        <v>45845.0</v>
      </c>
      <c r="G106" s="22">
        <v>35053.2</v>
      </c>
      <c r="H106" s="21" t="s">
        <v>93</v>
      </c>
      <c r="I106" s="21">
        <v>45905.0</v>
      </c>
      <c r="J106" s="19" t="s">
        <v>14</v>
      </c>
      <c r="K106" s="19" t="s">
        <v>115</v>
      </c>
      <c r="L106" s="19" t="s">
        <v>116</v>
      </c>
      <c r="M106" s="19" t="s">
        <v>111</v>
      </c>
      <c r="N106" s="28">
        <v>168.0</v>
      </c>
      <c r="O106" s="22">
        <v>208.65</v>
      </c>
    </row>
    <row r="107" ht="15.75" customHeight="1">
      <c r="A107" s="19" t="s">
        <v>65</v>
      </c>
      <c r="B107" s="19" t="s">
        <v>66</v>
      </c>
      <c r="C107" s="19" t="s">
        <v>19</v>
      </c>
      <c r="D107" s="20">
        <v>45809.0</v>
      </c>
      <c r="E107" s="19">
        <v>2937.0</v>
      </c>
      <c r="F107" s="21">
        <v>45845.0</v>
      </c>
      <c r="G107" s="22">
        <v>37464.0</v>
      </c>
      <c r="H107" s="21" t="s">
        <v>93</v>
      </c>
      <c r="I107" s="21">
        <v>45905.0</v>
      </c>
      <c r="J107" s="19" t="s">
        <v>14</v>
      </c>
      <c r="K107" s="19" t="s">
        <v>20</v>
      </c>
      <c r="L107" s="19" t="s">
        <v>21</v>
      </c>
      <c r="M107" s="19" t="s">
        <v>111</v>
      </c>
      <c r="N107" s="28">
        <v>168.0</v>
      </c>
      <c r="O107" s="22">
        <v>223.0</v>
      </c>
    </row>
    <row r="108" ht="15.75" customHeight="1">
      <c r="A108" s="19" t="s">
        <v>65</v>
      </c>
      <c r="B108" s="19" t="s">
        <v>66</v>
      </c>
      <c r="C108" s="19" t="s">
        <v>19</v>
      </c>
      <c r="D108" s="20">
        <v>45809.0</v>
      </c>
      <c r="E108" s="19">
        <v>2937.0</v>
      </c>
      <c r="F108" s="21">
        <v>45845.0</v>
      </c>
      <c r="G108" s="22">
        <v>37464.0</v>
      </c>
      <c r="H108" s="21" t="s">
        <v>93</v>
      </c>
      <c r="I108" s="21">
        <v>45905.0</v>
      </c>
      <c r="J108" s="19" t="s">
        <v>14</v>
      </c>
      <c r="K108" s="19" t="s">
        <v>22</v>
      </c>
      <c r="L108" s="19" t="s">
        <v>23</v>
      </c>
      <c r="M108" s="19" t="s">
        <v>119</v>
      </c>
      <c r="N108" s="28">
        <v>168.0</v>
      </c>
      <c r="O108" s="22">
        <v>223.0</v>
      </c>
    </row>
    <row r="109" ht="15.75" customHeight="1">
      <c r="A109" s="19" t="s">
        <v>65</v>
      </c>
      <c r="B109" s="19" t="s">
        <v>66</v>
      </c>
      <c r="C109" s="19" t="s">
        <v>19</v>
      </c>
      <c r="D109" s="20">
        <v>45809.0</v>
      </c>
      <c r="E109" s="19">
        <v>2937.0</v>
      </c>
      <c r="F109" s="21">
        <v>45845.0</v>
      </c>
      <c r="G109" s="22">
        <v>33384.0</v>
      </c>
      <c r="H109" s="21" t="s">
        <v>93</v>
      </c>
      <c r="I109" s="21">
        <v>45905.0</v>
      </c>
      <c r="J109" s="19" t="s">
        <v>14</v>
      </c>
      <c r="K109" s="19" t="s">
        <v>24</v>
      </c>
      <c r="L109" s="19" t="s">
        <v>25</v>
      </c>
      <c r="M109" s="19" t="s">
        <v>111</v>
      </c>
      <c r="N109" s="28">
        <v>160.0</v>
      </c>
      <c r="O109" s="22">
        <v>208.65</v>
      </c>
    </row>
    <row r="110" ht="15.75" customHeight="1">
      <c r="A110" s="19" t="s">
        <v>65</v>
      </c>
      <c r="B110" s="19" t="s">
        <v>66</v>
      </c>
      <c r="C110" s="19" t="s">
        <v>19</v>
      </c>
      <c r="D110" s="20">
        <v>45809.0</v>
      </c>
      <c r="E110" s="19">
        <v>2937.0</v>
      </c>
      <c r="F110" s="21">
        <v>45845.0</v>
      </c>
      <c r="G110" s="22">
        <v>35157.53</v>
      </c>
      <c r="H110" s="21" t="s">
        <v>93</v>
      </c>
      <c r="I110" s="21">
        <v>45905.0</v>
      </c>
      <c r="J110" s="19" t="s">
        <v>10</v>
      </c>
      <c r="K110" s="19" t="s">
        <v>39</v>
      </c>
      <c r="L110" s="19" t="s">
        <v>40</v>
      </c>
      <c r="M110" s="19" t="s">
        <v>111</v>
      </c>
      <c r="N110" s="28">
        <v>168.5</v>
      </c>
      <c r="O110" s="22">
        <v>208.65</v>
      </c>
    </row>
    <row r="111" ht="15.75" customHeight="1">
      <c r="A111" s="19" t="s">
        <v>65</v>
      </c>
      <c r="B111" s="19" t="s">
        <v>66</v>
      </c>
      <c r="C111" s="19" t="s">
        <v>19</v>
      </c>
      <c r="D111" s="20">
        <v>45809.0</v>
      </c>
      <c r="E111" s="19">
        <v>2937.0</v>
      </c>
      <c r="F111" s="21">
        <v>45845.0</v>
      </c>
      <c r="G111" s="22">
        <v>16428.72</v>
      </c>
      <c r="H111" s="21" t="s">
        <v>93</v>
      </c>
      <c r="I111" s="21">
        <v>45905.0</v>
      </c>
      <c r="J111" s="19" t="s">
        <v>10</v>
      </c>
      <c r="K111" s="19" t="s">
        <v>41</v>
      </c>
      <c r="L111" s="19" t="s">
        <v>42</v>
      </c>
      <c r="M111" s="19" t="s">
        <v>133</v>
      </c>
      <c r="N111" s="28">
        <v>88.0</v>
      </c>
      <c r="O111" s="22">
        <v>186.69</v>
      </c>
    </row>
    <row r="112" ht="15.75" customHeight="1">
      <c r="A112" s="19" t="s">
        <v>65</v>
      </c>
      <c r="B112" s="19" t="s">
        <v>66</v>
      </c>
      <c r="C112" s="19" t="s">
        <v>19</v>
      </c>
      <c r="D112" s="20">
        <v>45809.0</v>
      </c>
      <c r="E112" s="19">
        <v>2937.0</v>
      </c>
      <c r="F112" s="21">
        <v>45845.0</v>
      </c>
      <c r="G112" s="22">
        <v>39539.18</v>
      </c>
      <c r="H112" s="21" t="s">
        <v>93</v>
      </c>
      <c r="I112" s="21">
        <v>45905.0</v>
      </c>
      <c r="J112" s="19" t="s">
        <v>10</v>
      </c>
      <c r="K112" s="19" t="s">
        <v>37</v>
      </c>
      <c r="L112" s="19" t="s">
        <v>38</v>
      </c>
      <c r="M112" s="19" t="s">
        <v>120</v>
      </c>
      <c r="N112" s="28">
        <v>189.5</v>
      </c>
      <c r="O112" s="22">
        <v>208.65</v>
      </c>
    </row>
    <row r="113" ht="15.75" customHeight="1">
      <c r="A113" s="19" t="s">
        <v>65</v>
      </c>
      <c r="B113" s="19" t="s">
        <v>66</v>
      </c>
      <c r="C113" s="19" t="s">
        <v>19</v>
      </c>
      <c r="D113" s="20">
        <v>45809.0</v>
      </c>
      <c r="E113" s="19">
        <v>2937.0</v>
      </c>
      <c r="F113" s="21">
        <v>45845.0</v>
      </c>
      <c r="G113" s="22">
        <v>26657.57</v>
      </c>
      <c r="H113" s="21" t="s">
        <v>93</v>
      </c>
      <c r="I113" s="21">
        <v>45905.0</v>
      </c>
      <c r="J113" s="19" t="s">
        <v>10</v>
      </c>
      <c r="K113" s="19" t="s">
        <v>43</v>
      </c>
      <c r="L113" s="19" t="s">
        <v>44</v>
      </c>
      <c r="M113" s="19" t="s">
        <v>111</v>
      </c>
      <c r="N113" s="28">
        <v>0.0</v>
      </c>
      <c r="O113" s="22">
        <v>0.0</v>
      </c>
    </row>
    <row r="114" ht="15.75" customHeight="1">
      <c r="A114" s="19" t="s">
        <v>65</v>
      </c>
      <c r="B114" s="19" t="s">
        <v>66</v>
      </c>
      <c r="C114" s="19" t="s">
        <v>19</v>
      </c>
      <c r="D114" s="20">
        <v>45809.0</v>
      </c>
      <c r="E114" s="19">
        <v>2947.0</v>
      </c>
      <c r="F114" s="21">
        <v>45848.0</v>
      </c>
      <c r="G114" s="22">
        <v>33835.2</v>
      </c>
      <c r="H114" s="21" t="s">
        <v>93</v>
      </c>
      <c r="I114" s="21">
        <v>45908.0</v>
      </c>
      <c r="J114" s="19" t="s">
        <v>14</v>
      </c>
      <c r="K114" s="19" t="s">
        <v>141</v>
      </c>
      <c r="L114" s="19" t="s">
        <v>142</v>
      </c>
      <c r="M114" s="19" t="s">
        <v>143</v>
      </c>
      <c r="N114" s="28">
        <v>168.0</v>
      </c>
      <c r="O114" s="22">
        <v>201.4</v>
      </c>
    </row>
    <row r="115" ht="15.75" customHeight="1">
      <c r="A115" s="19" t="s">
        <v>51</v>
      </c>
      <c r="B115" s="19" t="s">
        <v>52</v>
      </c>
      <c r="C115" s="19" t="s">
        <v>28</v>
      </c>
      <c r="D115" s="20">
        <v>45839.0</v>
      </c>
      <c r="E115" s="19">
        <v>150488.0</v>
      </c>
      <c r="F115" s="21">
        <v>45889.0</v>
      </c>
      <c r="G115" s="22">
        <v>43541.16</v>
      </c>
      <c r="H115" s="21" t="s">
        <v>94</v>
      </c>
      <c r="I115" s="21">
        <v>45919.0</v>
      </c>
      <c r="J115" s="19" t="s">
        <v>7</v>
      </c>
      <c r="K115" s="19" t="s">
        <v>127</v>
      </c>
      <c r="L115" s="19" t="s">
        <v>128</v>
      </c>
      <c r="M115" s="19" t="s">
        <v>111</v>
      </c>
      <c r="N115" s="28">
        <v>169.0</v>
      </c>
      <c r="O115" s="22">
        <v>257.64</v>
      </c>
    </row>
    <row r="116" ht="15.75" customHeight="1">
      <c r="A116" s="19" t="s">
        <v>51</v>
      </c>
      <c r="B116" s="19" t="s">
        <v>52</v>
      </c>
      <c r="C116" s="19" t="s">
        <v>28</v>
      </c>
      <c r="D116" s="20">
        <v>45839.0</v>
      </c>
      <c r="E116" s="19">
        <v>150488.0</v>
      </c>
      <c r="F116" s="21">
        <v>45889.0</v>
      </c>
      <c r="G116" s="22">
        <v>43541.16</v>
      </c>
      <c r="H116" s="21" t="s">
        <v>94</v>
      </c>
      <c r="I116" s="21">
        <v>45919.0</v>
      </c>
      <c r="J116" s="19" t="s">
        <v>14</v>
      </c>
      <c r="K116" s="19" t="s">
        <v>129</v>
      </c>
      <c r="L116" s="19" t="s">
        <v>130</v>
      </c>
      <c r="M116" s="19" t="s">
        <v>111</v>
      </c>
      <c r="N116" s="28">
        <v>169.0</v>
      </c>
      <c r="O116" s="22">
        <v>257.64</v>
      </c>
    </row>
    <row r="117" ht="15.75" customHeight="1">
      <c r="A117" s="19" t="s">
        <v>51</v>
      </c>
      <c r="B117" s="19" t="s">
        <v>52</v>
      </c>
      <c r="C117" s="19" t="s">
        <v>28</v>
      </c>
      <c r="D117" s="20">
        <v>45839.0</v>
      </c>
      <c r="E117" s="19">
        <v>149984.0</v>
      </c>
      <c r="F117" s="21">
        <v>45874.0</v>
      </c>
      <c r="G117" s="22">
        <v>32621.82</v>
      </c>
      <c r="H117" s="21" t="s">
        <v>94</v>
      </c>
      <c r="I117" s="21">
        <v>45919.0</v>
      </c>
      <c r="J117" s="21" t="s">
        <v>7</v>
      </c>
      <c r="K117" s="19" t="s">
        <v>134</v>
      </c>
      <c r="L117" s="19" t="s">
        <v>135</v>
      </c>
      <c r="M117" s="19" t="s">
        <v>111</v>
      </c>
      <c r="N117" s="28">
        <v>161.0</v>
      </c>
      <c r="O117" s="22">
        <v>202.62</v>
      </c>
    </row>
    <row r="118" ht="15.75" customHeight="1">
      <c r="A118" s="19" t="s">
        <v>51</v>
      </c>
      <c r="B118" s="19" t="s">
        <v>52</v>
      </c>
      <c r="C118" s="19" t="s">
        <v>28</v>
      </c>
      <c r="D118" s="20">
        <v>45839.0</v>
      </c>
      <c r="E118" s="19">
        <v>149984.0</v>
      </c>
      <c r="F118" s="21">
        <v>45874.0</v>
      </c>
      <c r="G118" s="22">
        <v>35255.88</v>
      </c>
      <c r="H118" s="21" t="s">
        <v>94</v>
      </c>
      <c r="I118" s="21">
        <v>45919.0</v>
      </c>
      <c r="J118" s="19" t="s">
        <v>7</v>
      </c>
      <c r="K118" s="19" t="s">
        <v>33</v>
      </c>
      <c r="L118" s="19" t="s">
        <v>112</v>
      </c>
      <c r="M118" s="19" t="s">
        <v>111</v>
      </c>
      <c r="N118" s="28">
        <v>174.0</v>
      </c>
      <c r="O118" s="22">
        <v>202.62</v>
      </c>
    </row>
    <row r="119" ht="15.75" customHeight="1">
      <c r="A119" s="19" t="s">
        <v>51</v>
      </c>
      <c r="B119" s="19" t="s">
        <v>52</v>
      </c>
      <c r="C119" s="19" t="s">
        <v>28</v>
      </c>
      <c r="D119" s="20">
        <v>45839.0</v>
      </c>
      <c r="E119" s="19">
        <v>149984.0</v>
      </c>
      <c r="F119" s="21">
        <v>45874.0</v>
      </c>
      <c r="G119" s="22">
        <v>46181.16</v>
      </c>
      <c r="H119" s="21" t="s">
        <v>94</v>
      </c>
      <c r="I119" s="21">
        <v>45919.0</v>
      </c>
      <c r="J119" s="19" t="s">
        <v>7</v>
      </c>
      <c r="K119" s="19" t="s">
        <v>31</v>
      </c>
      <c r="L119" s="19" t="s">
        <v>113</v>
      </c>
      <c r="M119" s="19" t="s">
        <v>114</v>
      </c>
      <c r="N119" s="28">
        <v>163.0</v>
      </c>
      <c r="O119" s="22">
        <v>283.32</v>
      </c>
    </row>
    <row r="120" ht="15.75" customHeight="1">
      <c r="A120" s="19" t="s">
        <v>51</v>
      </c>
      <c r="B120" s="19" t="s">
        <v>52</v>
      </c>
      <c r="C120" s="19" t="s">
        <v>28</v>
      </c>
      <c r="D120" s="20">
        <v>45839.0</v>
      </c>
      <c r="E120" s="19">
        <v>150491.0</v>
      </c>
      <c r="F120" s="21">
        <v>45889.0</v>
      </c>
      <c r="G120" s="22">
        <v>46181.16</v>
      </c>
      <c r="H120" s="21" t="s">
        <v>94</v>
      </c>
      <c r="I120" s="21">
        <v>45919.0</v>
      </c>
      <c r="J120" s="19" t="s">
        <v>14</v>
      </c>
      <c r="K120" s="19" t="s">
        <v>122</v>
      </c>
      <c r="L120" s="19" t="s">
        <v>123</v>
      </c>
      <c r="M120" s="19" t="s">
        <v>114</v>
      </c>
      <c r="N120" s="28">
        <v>163.0</v>
      </c>
      <c r="O120" s="22">
        <v>283.32</v>
      </c>
    </row>
    <row r="121" ht="15.75" customHeight="1">
      <c r="A121" s="19" t="s">
        <v>62</v>
      </c>
      <c r="B121" s="19" t="s">
        <v>63</v>
      </c>
      <c r="C121" s="19" t="s">
        <v>64</v>
      </c>
      <c r="D121" s="20">
        <v>45839.0</v>
      </c>
      <c r="E121" s="19">
        <v>1043.0</v>
      </c>
      <c r="F121" s="21">
        <v>45883.0</v>
      </c>
      <c r="G121" s="22">
        <v>25704.0</v>
      </c>
      <c r="H121" s="21" t="s">
        <v>94</v>
      </c>
      <c r="I121" s="21">
        <v>45908.0</v>
      </c>
      <c r="J121" s="19" t="s">
        <v>7</v>
      </c>
      <c r="K121" s="19" t="s">
        <v>139</v>
      </c>
      <c r="L121" s="19" t="s">
        <v>140</v>
      </c>
      <c r="M121" s="19" t="s">
        <v>133</v>
      </c>
      <c r="N121" s="28">
        <v>112.0</v>
      </c>
      <c r="O121" s="22">
        <v>229.5</v>
      </c>
    </row>
    <row r="122" ht="15.75" customHeight="1">
      <c r="A122" s="19" t="s">
        <v>65</v>
      </c>
      <c r="B122" s="19" t="s">
        <v>66</v>
      </c>
      <c r="C122" s="19" t="s">
        <v>19</v>
      </c>
      <c r="D122" s="20">
        <v>45839.0</v>
      </c>
      <c r="E122" s="19">
        <v>2978.0</v>
      </c>
      <c r="F122" s="21">
        <v>45874.0</v>
      </c>
      <c r="G122" s="22">
        <v>32224.0</v>
      </c>
      <c r="H122" s="21" t="s">
        <v>94</v>
      </c>
      <c r="I122" s="21">
        <v>45934.0</v>
      </c>
      <c r="J122" s="21" t="s">
        <v>14</v>
      </c>
      <c r="K122" s="19" t="s">
        <v>141</v>
      </c>
      <c r="L122" s="21" t="s">
        <v>142</v>
      </c>
      <c r="M122" s="19" t="s">
        <v>143</v>
      </c>
      <c r="N122" s="28">
        <v>160.0</v>
      </c>
      <c r="O122" s="22">
        <v>201.4</v>
      </c>
    </row>
    <row r="123" ht="15.75" customHeight="1">
      <c r="A123" s="19" t="s">
        <v>62</v>
      </c>
      <c r="B123" s="19" t="s">
        <v>63</v>
      </c>
      <c r="C123" s="19" t="s">
        <v>64</v>
      </c>
      <c r="D123" s="20">
        <v>45839.0</v>
      </c>
      <c r="E123" s="19">
        <v>1043.0</v>
      </c>
      <c r="F123" s="21">
        <v>45883.0</v>
      </c>
      <c r="G123" s="22">
        <v>11809.44</v>
      </c>
      <c r="H123" s="21" t="s">
        <v>94</v>
      </c>
      <c r="I123" s="21">
        <v>45908.0</v>
      </c>
      <c r="J123" s="19" t="s">
        <v>7</v>
      </c>
      <c r="K123" s="19" t="s">
        <v>136</v>
      </c>
      <c r="L123" s="19" t="s">
        <v>137</v>
      </c>
      <c r="M123" s="19" t="s">
        <v>138</v>
      </c>
      <c r="N123" s="28">
        <v>48.0</v>
      </c>
      <c r="O123" s="22">
        <v>246.03</v>
      </c>
    </row>
    <row r="124" ht="15.75" customHeight="1">
      <c r="A124" s="19" t="s">
        <v>65</v>
      </c>
      <c r="B124" s="19" t="s">
        <v>66</v>
      </c>
      <c r="C124" s="19" t="s">
        <v>19</v>
      </c>
      <c r="D124" s="20">
        <v>45839.0</v>
      </c>
      <c r="E124" s="19">
        <v>3005.0</v>
      </c>
      <c r="F124" s="21">
        <v>45888.0</v>
      </c>
      <c r="G124" s="22">
        <v>34009.95</v>
      </c>
      <c r="H124" s="21" t="s">
        <v>94</v>
      </c>
      <c r="I124" s="21">
        <v>45934.0</v>
      </c>
      <c r="J124" s="21" t="s">
        <v>7</v>
      </c>
      <c r="K124" s="19" t="s">
        <v>26</v>
      </c>
      <c r="L124" s="19" t="s">
        <v>27</v>
      </c>
      <c r="M124" s="19" t="s">
        <v>111</v>
      </c>
      <c r="N124" s="28">
        <v>163.0</v>
      </c>
      <c r="O124" s="22">
        <v>208.65</v>
      </c>
    </row>
    <row r="125" ht="15.75" customHeight="1">
      <c r="A125" s="19" t="s">
        <v>65</v>
      </c>
      <c r="B125" s="19" t="s">
        <v>66</v>
      </c>
      <c r="C125" s="19" t="s">
        <v>19</v>
      </c>
      <c r="D125" s="20">
        <v>45839.0</v>
      </c>
      <c r="E125" s="19">
        <v>3004.0</v>
      </c>
      <c r="F125" s="21">
        <v>45888.0</v>
      </c>
      <c r="G125" s="22">
        <v>10015.2</v>
      </c>
      <c r="H125" s="21" t="s">
        <v>94</v>
      </c>
      <c r="I125" s="21">
        <v>45934.0</v>
      </c>
      <c r="J125" s="19" t="s">
        <v>14</v>
      </c>
      <c r="K125" s="19" t="s">
        <v>115</v>
      </c>
      <c r="L125" s="19" t="s">
        <v>116</v>
      </c>
      <c r="M125" s="19" t="s">
        <v>111</v>
      </c>
      <c r="N125" s="28">
        <v>48.0</v>
      </c>
      <c r="O125" s="22">
        <v>208.65</v>
      </c>
    </row>
    <row r="126" ht="15.75" customHeight="1">
      <c r="A126" s="19" t="s">
        <v>65</v>
      </c>
      <c r="B126" s="19" t="s">
        <v>66</v>
      </c>
      <c r="C126" s="19" t="s">
        <v>19</v>
      </c>
      <c r="D126" s="20">
        <v>45839.0</v>
      </c>
      <c r="E126" s="19">
        <v>3004.0</v>
      </c>
      <c r="F126" s="21">
        <v>45888.0</v>
      </c>
      <c r="G126" s="22">
        <v>35680.0</v>
      </c>
      <c r="H126" s="21" t="s">
        <v>94</v>
      </c>
      <c r="I126" s="21">
        <v>45934.0</v>
      </c>
      <c r="J126" s="19" t="s">
        <v>14</v>
      </c>
      <c r="K126" s="19" t="s">
        <v>20</v>
      </c>
      <c r="L126" s="19" t="s">
        <v>21</v>
      </c>
      <c r="M126" s="19" t="s">
        <v>111</v>
      </c>
      <c r="N126" s="28">
        <v>160.0</v>
      </c>
      <c r="O126" s="22">
        <v>223.0</v>
      </c>
    </row>
    <row r="127" ht="15.75" customHeight="1">
      <c r="A127" s="19" t="s">
        <v>65</v>
      </c>
      <c r="B127" s="19" t="s">
        <v>66</v>
      </c>
      <c r="C127" s="19" t="s">
        <v>19</v>
      </c>
      <c r="D127" s="20">
        <v>45839.0</v>
      </c>
      <c r="E127" s="19">
        <v>3004.0</v>
      </c>
      <c r="F127" s="21">
        <v>45888.0</v>
      </c>
      <c r="G127" s="22">
        <v>35680.0</v>
      </c>
      <c r="H127" s="21" t="s">
        <v>94</v>
      </c>
      <c r="I127" s="21">
        <v>45934.0</v>
      </c>
      <c r="J127" s="19" t="s">
        <v>14</v>
      </c>
      <c r="K127" s="19" t="s">
        <v>22</v>
      </c>
      <c r="L127" s="19" t="s">
        <v>23</v>
      </c>
      <c r="M127" s="19" t="s">
        <v>119</v>
      </c>
      <c r="N127" s="28">
        <v>160.0</v>
      </c>
      <c r="O127" s="22">
        <v>223.0</v>
      </c>
    </row>
    <row r="128" ht="15.75" customHeight="1">
      <c r="A128" s="19" t="s">
        <v>65</v>
      </c>
      <c r="B128" s="19" t="s">
        <v>66</v>
      </c>
      <c r="C128" s="19" t="s">
        <v>19</v>
      </c>
      <c r="D128" s="20">
        <v>45839.0</v>
      </c>
      <c r="E128" s="19">
        <v>3004.0</v>
      </c>
      <c r="F128" s="21">
        <v>45888.0</v>
      </c>
      <c r="G128" s="22">
        <v>33384.0</v>
      </c>
      <c r="H128" s="21" t="s">
        <v>94</v>
      </c>
      <c r="I128" s="21">
        <v>45934.0</v>
      </c>
      <c r="J128" s="19" t="s">
        <v>14</v>
      </c>
      <c r="K128" s="19" t="s">
        <v>24</v>
      </c>
      <c r="L128" s="19" t="s">
        <v>25</v>
      </c>
      <c r="M128" s="19" t="s">
        <v>111</v>
      </c>
      <c r="N128" s="28">
        <v>160.0</v>
      </c>
      <c r="O128" s="22">
        <v>208.65</v>
      </c>
    </row>
    <row r="129" ht="15.75" customHeight="1">
      <c r="A129" s="19" t="s">
        <v>65</v>
      </c>
      <c r="B129" s="19" t="s">
        <v>66</v>
      </c>
      <c r="C129" s="19" t="s">
        <v>19</v>
      </c>
      <c r="D129" s="20">
        <v>45839.0</v>
      </c>
      <c r="E129" s="19">
        <v>3003.0</v>
      </c>
      <c r="F129" s="21">
        <v>45888.0</v>
      </c>
      <c r="G129" s="22">
        <v>35679.15</v>
      </c>
      <c r="H129" s="21" t="s">
        <v>94</v>
      </c>
      <c r="I129" s="21">
        <v>45934.0</v>
      </c>
      <c r="J129" s="19" t="s">
        <v>10</v>
      </c>
      <c r="K129" s="19" t="s">
        <v>39</v>
      </c>
      <c r="L129" s="19" t="s">
        <v>40</v>
      </c>
      <c r="M129" s="19" t="s">
        <v>111</v>
      </c>
      <c r="N129" s="28">
        <v>171.0</v>
      </c>
      <c r="O129" s="22">
        <v>208.65</v>
      </c>
    </row>
    <row r="130" ht="15.75" customHeight="1">
      <c r="A130" s="19" t="s">
        <v>65</v>
      </c>
      <c r="B130" s="19" t="s">
        <v>66</v>
      </c>
      <c r="C130" s="19" t="s">
        <v>19</v>
      </c>
      <c r="D130" s="20">
        <v>45839.0</v>
      </c>
      <c r="E130" s="19">
        <v>3003.0</v>
      </c>
      <c r="F130" s="21">
        <v>45888.0</v>
      </c>
      <c r="G130" s="22">
        <v>30150.44</v>
      </c>
      <c r="H130" s="21" t="s">
        <v>94</v>
      </c>
      <c r="I130" s="21">
        <v>45934.0</v>
      </c>
      <c r="J130" s="19" t="s">
        <v>10</v>
      </c>
      <c r="K130" s="19" t="s">
        <v>41</v>
      </c>
      <c r="L130" s="19" t="s">
        <v>42</v>
      </c>
      <c r="M130" s="19" t="s">
        <v>133</v>
      </c>
      <c r="N130" s="28">
        <v>161.5</v>
      </c>
      <c r="O130" s="22">
        <v>186.69</v>
      </c>
    </row>
    <row r="131" ht="15.75" customHeight="1">
      <c r="A131" s="19" t="s">
        <v>65</v>
      </c>
      <c r="B131" s="19" t="s">
        <v>66</v>
      </c>
      <c r="C131" s="19" t="s">
        <v>19</v>
      </c>
      <c r="D131" s="20">
        <v>45839.0</v>
      </c>
      <c r="E131" s="19">
        <v>3003.0</v>
      </c>
      <c r="F131" s="21">
        <v>45888.0</v>
      </c>
      <c r="G131" s="22">
        <v>35470.5</v>
      </c>
      <c r="H131" s="21" t="s">
        <v>94</v>
      </c>
      <c r="I131" s="21">
        <v>45934.0</v>
      </c>
      <c r="J131" s="19" t="s">
        <v>10</v>
      </c>
      <c r="K131" s="19" t="s">
        <v>37</v>
      </c>
      <c r="L131" s="19" t="s">
        <v>38</v>
      </c>
      <c r="M131" s="19" t="s">
        <v>120</v>
      </c>
      <c r="N131" s="28">
        <v>170.0</v>
      </c>
      <c r="O131" s="22">
        <v>208.65</v>
      </c>
    </row>
    <row r="132" ht="15.75" customHeight="1">
      <c r="A132" s="19" t="s">
        <v>65</v>
      </c>
      <c r="B132" s="19" t="s">
        <v>66</v>
      </c>
      <c r="C132" s="19" t="s">
        <v>19</v>
      </c>
      <c r="D132" s="20">
        <v>45839.0</v>
      </c>
      <c r="E132" s="19">
        <v>3003.0</v>
      </c>
      <c r="F132" s="21">
        <v>45888.0</v>
      </c>
      <c r="G132" s="22">
        <v>26657.57</v>
      </c>
      <c r="H132" s="21" t="s">
        <v>94</v>
      </c>
      <c r="I132" s="21">
        <v>45934.0</v>
      </c>
      <c r="J132" s="19" t="s">
        <v>10</v>
      </c>
      <c r="K132" s="19" t="s">
        <v>43</v>
      </c>
      <c r="L132" s="19" t="s">
        <v>44</v>
      </c>
      <c r="M132" s="19" t="s">
        <v>111</v>
      </c>
      <c r="N132" s="28">
        <v>0.0</v>
      </c>
      <c r="O132" s="22">
        <v>0.0</v>
      </c>
    </row>
    <row r="133" ht="15.75" customHeight="1">
      <c r="A133" s="19" t="s">
        <v>65</v>
      </c>
      <c r="B133" s="19" t="s">
        <v>66</v>
      </c>
      <c r="C133" s="19" t="s">
        <v>19</v>
      </c>
      <c r="D133" s="20">
        <v>45778.0</v>
      </c>
      <c r="E133" s="19">
        <v>2909.0</v>
      </c>
      <c r="F133" s="21">
        <v>45825.0</v>
      </c>
      <c r="G133" s="22">
        <v>22556.8</v>
      </c>
      <c r="H133" s="21" t="s">
        <v>85</v>
      </c>
      <c r="I133" s="21">
        <v>45885.0</v>
      </c>
      <c r="J133" s="19" t="s">
        <v>79</v>
      </c>
      <c r="K133" s="19" t="s">
        <v>141</v>
      </c>
      <c r="L133" s="21" t="s">
        <v>142</v>
      </c>
      <c r="M133" s="19" t="s">
        <v>143</v>
      </c>
      <c r="N133" s="28">
        <v>112.0</v>
      </c>
      <c r="O133" s="22">
        <v>201.4</v>
      </c>
    </row>
    <row r="134" ht="15.75" customHeight="1">
      <c r="A134" s="19" t="s">
        <v>65</v>
      </c>
      <c r="B134" s="19" t="s">
        <v>66</v>
      </c>
      <c r="C134" s="19" t="s">
        <v>19</v>
      </c>
      <c r="D134" s="20">
        <v>45778.0</v>
      </c>
      <c r="E134" s="19">
        <v>2910.0</v>
      </c>
      <c r="F134" s="21">
        <v>45825.0</v>
      </c>
      <c r="G134" s="22">
        <v>9667.2</v>
      </c>
      <c r="H134" s="21" t="s">
        <v>85</v>
      </c>
      <c r="I134" s="21">
        <v>45885.0</v>
      </c>
      <c r="J134" s="19" t="s">
        <v>109</v>
      </c>
      <c r="K134" s="19" t="s">
        <v>141</v>
      </c>
      <c r="L134" s="21" t="s">
        <v>142</v>
      </c>
      <c r="M134" s="19" t="s">
        <v>143</v>
      </c>
      <c r="N134" s="28">
        <v>48.0</v>
      </c>
      <c r="O134" s="22">
        <v>201.4</v>
      </c>
    </row>
    <row r="135" ht="15.75" customHeight="1">
      <c r="A135" s="19" t="s">
        <v>51</v>
      </c>
      <c r="B135" s="19" t="s">
        <v>52</v>
      </c>
      <c r="C135" s="19" t="s">
        <v>28</v>
      </c>
      <c r="D135" s="20">
        <v>45778.0</v>
      </c>
      <c r="E135" s="19">
        <v>148459.0</v>
      </c>
      <c r="F135" s="21">
        <v>45819.0</v>
      </c>
      <c r="G135" s="22">
        <v>47597.76</v>
      </c>
      <c r="H135" s="21" t="s">
        <v>85</v>
      </c>
      <c r="I135" s="21">
        <v>45864.0</v>
      </c>
      <c r="J135" s="19" t="s">
        <v>7</v>
      </c>
      <c r="K135" s="19" t="s">
        <v>29</v>
      </c>
      <c r="L135" s="19" t="s">
        <v>30</v>
      </c>
      <c r="M135" s="19" t="s">
        <v>144</v>
      </c>
      <c r="N135" s="28">
        <v>168.0</v>
      </c>
      <c r="O135" s="22">
        <v>283.32</v>
      </c>
    </row>
    <row r="136" ht="15.75" customHeight="1">
      <c r="A136" s="19" t="s">
        <v>51</v>
      </c>
      <c r="B136" s="19" t="s">
        <v>52</v>
      </c>
      <c r="C136" s="19" t="s">
        <v>28</v>
      </c>
      <c r="D136" s="20">
        <v>45778.0</v>
      </c>
      <c r="E136" s="19">
        <v>148460.0</v>
      </c>
      <c r="F136" s="21">
        <v>45819.0</v>
      </c>
      <c r="G136" s="22">
        <v>18655.56</v>
      </c>
      <c r="H136" s="21" t="s">
        <v>85</v>
      </c>
      <c r="I136" s="21">
        <v>45864.0</v>
      </c>
      <c r="J136" s="19" t="s">
        <v>7</v>
      </c>
      <c r="K136" s="19" t="s">
        <v>145</v>
      </c>
      <c r="L136" s="19" t="s">
        <v>146</v>
      </c>
      <c r="M136" s="19" t="s">
        <v>147</v>
      </c>
      <c r="N136" s="28">
        <v>84.0</v>
      </c>
      <c r="O136" s="22">
        <v>222.09</v>
      </c>
    </row>
    <row r="137" ht="15.75" customHeight="1">
      <c r="A137" s="19" t="s">
        <v>51</v>
      </c>
      <c r="B137" s="19" t="s">
        <v>52</v>
      </c>
      <c r="C137" s="19" t="s">
        <v>28</v>
      </c>
      <c r="D137" s="20">
        <v>45778.0</v>
      </c>
      <c r="E137" s="19">
        <v>148461.0</v>
      </c>
      <c r="F137" s="21">
        <v>45819.0</v>
      </c>
      <c r="G137" s="22">
        <v>18655.56</v>
      </c>
      <c r="H137" s="21" t="s">
        <v>85</v>
      </c>
      <c r="I137" s="21">
        <v>45864.0</v>
      </c>
      <c r="J137" s="19" t="s">
        <v>7</v>
      </c>
      <c r="K137" s="19" t="s">
        <v>145</v>
      </c>
      <c r="L137" s="19" t="s">
        <v>146</v>
      </c>
      <c r="M137" s="19" t="s">
        <v>147</v>
      </c>
      <c r="N137" s="28">
        <v>84.0</v>
      </c>
      <c r="O137" s="22">
        <v>222.09</v>
      </c>
    </row>
    <row r="138" ht="15.75" customHeight="1">
      <c r="A138" s="19" t="s">
        <v>51</v>
      </c>
      <c r="B138" s="19" t="s">
        <v>52</v>
      </c>
      <c r="C138" s="19" t="s">
        <v>28</v>
      </c>
      <c r="D138" s="20">
        <v>45809.0</v>
      </c>
      <c r="E138" s="19">
        <v>149202.0</v>
      </c>
      <c r="F138" s="21">
        <v>45846.0</v>
      </c>
      <c r="G138" s="22">
        <v>47597.76</v>
      </c>
      <c r="H138" s="21" t="s">
        <v>93</v>
      </c>
      <c r="I138" s="21">
        <v>45891.0</v>
      </c>
      <c r="J138" s="19" t="s">
        <v>7</v>
      </c>
      <c r="K138" s="19" t="s">
        <v>29</v>
      </c>
      <c r="L138" s="19" t="s">
        <v>30</v>
      </c>
      <c r="M138" s="19" t="s">
        <v>144</v>
      </c>
      <c r="N138" s="28">
        <v>168.0</v>
      </c>
      <c r="O138" s="22">
        <v>283.32</v>
      </c>
    </row>
    <row r="139" ht="15.75" customHeight="1">
      <c r="A139" s="19" t="s">
        <v>51</v>
      </c>
      <c r="B139" s="19" t="s">
        <v>52</v>
      </c>
      <c r="C139" s="19" t="s">
        <v>28</v>
      </c>
      <c r="D139" s="20">
        <v>45809.0</v>
      </c>
      <c r="E139" s="19">
        <v>149203.0</v>
      </c>
      <c r="F139" s="21">
        <v>45846.0</v>
      </c>
      <c r="G139" s="22">
        <v>37311.12</v>
      </c>
      <c r="H139" s="21" t="s">
        <v>93</v>
      </c>
      <c r="I139" s="21">
        <v>45891.0</v>
      </c>
      <c r="J139" s="19" t="s">
        <v>7</v>
      </c>
      <c r="K139" s="19" t="s">
        <v>145</v>
      </c>
      <c r="L139" s="19" t="s">
        <v>146</v>
      </c>
      <c r="M139" s="19" t="s">
        <v>147</v>
      </c>
      <c r="N139" s="28">
        <v>168.0</v>
      </c>
      <c r="O139" s="22">
        <v>222.09</v>
      </c>
    </row>
    <row r="140" ht="15.75" customHeight="1">
      <c r="A140" s="19" t="s">
        <v>59</v>
      </c>
      <c r="B140" s="19" t="s">
        <v>60</v>
      </c>
      <c r="C140" s="19" t="s">
        <v>61</v>
      </c>
      <c r="D140" s="20">
        <v>45778.0</v>
      </c>
      <c r="E140" s="19">
        <v>15132.0</v>
      </c>
      <c r="F140" s="21">
        <v>45818.0</v>
      </c>
      <c r="G140" s="22">
        <v>17005.27</v>
      </c>
      <c r="H140" s="21" t="s">
        <v>85</v>
      </c>
      <c r="I140" s="21">
        <v>45843.0</v>
      </c>
      <c r="J140" s="19" t="s">
        <v>79</v>
      </c>
      <c r="K140" s="19" t="s">
        <v>148</v>
      </c>
      <c r="L140" s="19" t="s">
        <v>149</v>
      </c>
      <c r="M140" s="19" t="s">
        <v>150</v>
      </c>
      <c r="N140" s="28">
        <v>96.44</v>
      </c>
      <c r="O140" s="22">
        <v>176.33</v>
      </c>
    </row>
    <row r="141" ht="15.75" customHeight="1">
      <c r="A141" s="19" t="s">
        <v>59</v>
      </c>
      <c r="B141" s="19" t="s">
        <v>60</v>
      </c>
      <c r="C141" s="19" t="s">
        <v>61</v>
      </c>
      <c r="D141" s="20">
        <v>45778.0</v>
      </c>
      <c r="E141" s="19">
        <v>15133.0</v>
      </c>
      <c r="F141" s="21">
        <v>45818.0</v>
      </c>
      <c r="G141" s="22">
        <v>6802.11</v>
      </c>
      <c r="H141" s="21" t="s">
        <v>85</v>
      </c>
      <c r="I141" s="21">
        <v>45843.0</v>
      </c>
      <c r="J141" s="19" t="s">
        <v>79</v>
      </c>
      <c r="K141" s="19" t="s">
        <v>148</v>
      </c>
      <c r="L141" s="19" t="s">
        <v>149</v>
      </c>
      <c r="M141" s="19" t="s">
        <v>150</v>
      </c>
      <c r="N141" s="28">
        <v>38.57</v>
      </c>
      <c r="O141" s="22">
        <v>176.33</v>
      </c>
    </row>
    <row r="142" ht="15.75" customHeight="1">
      <c r="A142" s="19" t="s">
        <v>59</v>
      </c>
      <c r="B142" s="19" t="s">
        <v>60</v>
      </c>
      <c r="C142" s="19" t="s">
        <v>61</v>
      </c>
      <c r="D142" s="20">
        <v>45778.0</v>
      </c>
      <c r="E142" s="19">
        <v>15134.0</v>
      </c>
      <c r="F142" s="21">
        <v>45818.0</v>
      </c>
      <c r="G142" s="22">
        <v>10203.16</v>
      </c>
      <c r="H142" s="21" t="s">
        <v>85</v>
      </c>
      <c r="I142" s="21">
        <v>45843.0</v>
      </c>
      <c r="J142" s="19" t="s">
        <v>14</v>
      </c>
      <c r="K142" s="19" t="s">
        <v>148</v>
      </c>
      <c r="L142" s="19" t="s">
        <v>149</v>
      </c>
      <c r="M142" s="19" t="s">
        <v>150</v>
      </c>
      <c r="N142" s="28">
        <v>57.86</v>
      </c>
      <c r="O142" s="22">
        <v>176.33</v>
      </c>
    </row>
    <row r="143" ht="15.75" customHeight="1">
      <c r="A143" s="19" t="s">
        <v>59</v>
      </c>
      <c r="B143" s="19" t="s">
        <v>60</v>
      </c>
      <c r="C143" s="19" t="s">
        <v>61</v>
      </c>
      <c r="D143" s="20">
        <v>45809.0</v>
      </c>
      <c r="E143" s="19">
        <v>15175.0</v>
      </c>
      <c r="F143" s="21">
        <v>45839.0</v>
      </c>
      <c r="G143" s="22">
        <v>35794.67</v>
      </c>
      <c r="H143" s="21" t="s">
        <v>93</v>
      </c>
      <c r="I143" s="21">
        <v>45869.0</v>
      </c>
      <c r="J143" s="19" t="s">
        <v>14</v>
      </c>
      <c r="K143" s="19" t="s">
        <v>148</v>
      </c>
      <c r="L143" s="19" t="s">
        <v>149</v>
      </c>
      <c r="M143" s="19" t="s">
        <v>150</v>
      </c>
      <c r="N143" s="28">
        <v>185.6</v>
      </c>
      <c r="O143" s="22">
        <v>192.88</v>
      </c>
    </row>
    <row r="144" ht="15.75" customHeight="1">
      <c r="A144" s="19" t="s">
        <v>53</v>
      </c>
      <c r="B144" s="19" t="s">
        <v>54</v>
      </c>
      <c r="C144" s="19" t="s">
        <v>55</v>
      </c>
      <c r="D144" s="20">
        <v>45778.0</v>
      </c>
      <c r="E144" s="19">
        <v>22854.0</v>
      </c>
      <c r="F144" s="21">
        <v>45821.0</v>
      </c>
      <c r="G144" s="22">
        <v>39951.87</v>
      </c>
      <c r="H144" s="21" t="s">
        <v>85</v>
      </c>
      <c r="I144" s="21">
        <v>45881.0</v>
      </c>
      <c r="J144" s="19" t="s">
        <v>90</v>
      </c>
      <c r="K144" s="19" t="s">
        <v>151</v>
      </c>
      <c r="L144" s="19" t="s">
        <v>152</v>
      </c>
      <c r="M144" s="19" t="s">
        <v>150</v>
      </c>
      <c r="N144" s="28">
        <v>218.37</v>
      </c>
      <c r="O144" s="22">
        <v>186.0</v>
      </c>
    </row>
    <row r="145" ht="15.75" customHeight="1">
      <c r="A145" s="19" t="s">
        <v>53</v>
      </c>
      <c r="B145" s="19" t="s">
        <v>54</v>
      </c>
      <c r="C145" s="19" t="s">
        <v>55</v>
      </c>
      <c r="D145" s="30">
        <v>45809.0</v>
      </c>
      <c r="E145" s="31">
        <v>23323.0</v>
      </c>
      <c r="F145" s="32">
        <v>45852.0</v>
      </c>
      <c r="G145" s="22">
        <v>20351.56</v>
      </c>
      <c r="H145" s="21" t="s">
        <v>93</v>
      </c>
      <c r="I145" s="32">
        <v>45912.0</v>
      </c>
      <c r="J145" s="19" t="s">
        <v>7</v>
      </c>
      <c r="K145" s="33" t="s">
        <v>151</v>
      </c>
      <c r="L145" s="19" t="s">
        <v>152</v>
      </c>
      <c r="M145" s="33" t="s">
        <v>150</v>
      </c>
      <c r="N145" s="28">
        <v>111.65</v>
      </c>
      <c r="O145" s="22">
        <v>186.0</v>
      </c>
    </row>
    <row r="146" ht="15.75" customHeight="1">
      <c r="A146" s="19" t="s">
        <v>51</v>
      </c>
      <c r="B146" s="19" t="s">
        <v>52</v>
      </c>
      <c r="C146" s="19" t="s">
        <v>28</v>
      </c>
      <c r="D146" s="30">
        <v>45839.0</v>
      </c>
      <c r="E146" s="31">
        <v>149980.0</v>
      </c>
      <c r="F146" s="32">
        <v>45874.0</v>
      </c>
      <c r="G146" s="22">
        <v>45331.2</v>
      </c>
      <c r="H146" s="21" t="s">
        <v>94</v>
      </c>
      <c r="I146" s="32">
        <v>45919.0</v>
      </c>
      <c r="J146" s="19" t="s">
        <v>7</v>
      </c>
      <c r="K146" s="31" t="s">
        <v>29</v>
      </c>
      <c r="L146" s="31" t="s">
        <v>30</v>
      </c>
      <c r="M146" s="34" t="s">
        <v>144</v>
      </c>
      <c r="N146" s="28">
        <v>160.0</v>
      </c>
      <c r="O146" s="22">
        <v>283.32</v>
      </c>
    </row>
    <row r="147" ht="15.75" customHeight="1">
      <c r="A147" s="19" t="s">
        <v>51</v>
      </c>
      <c r="B147" s="19" t="s">
        <v>52</v>
      </c>
      <c r="C147" s="19" t="s">
        <v>28</v>
      </c>
      <c r="D147" s="30">
        <v>45839.0</v>
      </c>
      <c r="E147" s="31">
        <v>149981.0</v>
      </c>
      <c r="F147" s="32">
        <v>45874.0</v>
      </c>
      <c r="G147" s="22">
        <v>35534.4</v>
      </c>
      <c r="H147" s="21" t="s">
        <v>94</v>
      </c>
      <c r="I147" s="32">
        <v>45919.0</v>
      </c>
      <c r="J147" s="19" t="s">
        <v>7</v>
      </c>
      <c r="K147" s="31" t="s">
        <v>145</v>
      </c>
      <c r="L147" s="31" t="s">
        <v>146</v>
      </c>
      <c r="M147" s="34" t="s">
        <v>147</v>
      </c>
      <c r="N147" s="28">
        <v>160.0</v>
      </c>
      <c r="O147" s="22">
        <v>222.09</v>
      </c>
    </row>
    <row r="148" ht="15.75" customHeight="1">
      <c r="A148" s="19" t="s">
        <v>59</v>
      </c>
      <c r="B148" s="19" t="s">
        <v>60</v>
      </c>
      <c r="C148" s="19" t="s">
        <v>61</v>
      </c>
      <c r="D148" s="30">
        <v>45839.0</v>
      </c>
      <c r="E148" s="31">
        <v>15306.0</v>
      </c>
      <c r="F148" s="32">
        <v>45870.0</v>
      </c>
      <c r="G148" s="22">
        <v>32770.31</v>
      </c>
      <c r="H148" s="21" t="s">
        <v>94</v>
      </c>
      <c r="I148" s="32">
        <v>45900.0</v>
      </c>
      <c r="J148" s="19" t="s">
        <v>14</v>
      </c>
      <c r="K148" s="31" t="s">
        <v>148</v>
      </c>
      <c r="L148" s="35" t="s">
        <v>149</v>
      </c>
      <c r="M148" s="34" t="s">
        <v>150</v>
      </c>
      <c r="N148" s="28">
        <v>169.9</v>
      </c>
      <c r="O148" s="22">
        <v>192.88</v>
      </c>
    </row>
    <row r="149" ht="15.75" customHeight="1">
      <c r="A149" s="19" t="s">
        <v>53</v>
      </c>
      <c r="B149" s="19" t="s">
        <v>54</v>
      </c>
      <c r="C149" s="19" t="s">
        <v>55</v>
      </c>
      <c r="D149" s="30">
        <v>45839.0</v>
      </c>
      <c r="E149" s="31">
        <v>23799.0</v>
      </c>
      <c r="F149" s="32">
        <v>45888.0</v>
      </c>
      <c r="G149" s="22">
        <v>35674.8</v>
      </c>
      <c r="H149" s="21" t="s">
        <v>94</v>
      </c>
      <c r="I149" s="32">
        <v>45950.0</v>
      </c>
      <c r="J149" s="19" t="s">
        <v>7</v>
      </c>
      <c r="K149" s="33" t="s">
        <v>151</v>
      </c>
      <c r="L149" s="19" t="s">
        <v>152</v>
      </c>
      <c r="M149" s="33" t="s">
        <v>150</v>
      </c>
      <c r="N149" s="28">
        <v>195.54</v>
      </c>
      <c r="O149" s="22">
        <v>186.0</v>
      </c>
    </row>
    <row r="150" ht="15.75" customHeight="1">
      <c r="A150" s="19" t="s">
        <v>51</v>
      </c>
      <c r="B150" s="19" t="s">
        <v>52</v>
      </c>
      <c r="C150" s="19" t="s">
        <v>28</v>
      </c>
      <c r="D150" s="30">
        <v>45839.0</v>
      </c>
      <c r="E150" s="31">
        <v>149985.0</v>
      </c>
      <c r="F150" s="32">
        <v>45874.0</v>
      </c>
      <c r="G150" s="22">
        <v>31579.62</v>
      </c>
      <c r="H150" s="21" t="s">
        <v>94</v>
      </c>
      <c r="I150" s="32">
        <v>45919.0</v>
      </c>
      <c r="J150" s="19" t="s">
        <v>14</v>
      </c>
      <c r="K150" s="31" t="s">
        <v>35</v>
      </c>
      <c r="L150" s="19" t="s">
        <v>36</v>
      </c>
      <c r="M150" s="34" t="s">
        <v>153</v>
      </c>
      <c r="N150" s="28">
        <v>163.0</v>
      </c>
      <c r="O150" s="22">
        <v>193.74</v>
      </c>
    </row>
    <row r="151" ht="15.75" customHeight="1">
      <c r="A151" s="19" t="s">
        <v>51</v>
      </c>
      <c r="B151" s="19" t="s">
        <v>52</v>
      </c>
      <c r="C151" s="19" t="s">
        <v>28</v>
      </c>
      <c r="D151" s="30">
        <v>45809.0</v>
      </c>
      <c r="E151" s="31">
        <v>149246.0</v>
      </c>
      <c r="F151" s="32">
        <v>45846.0</v>
      </c>
      <c r="G151" s="22">
        <v>33129.54</v>
      </c>
      <c r="H151" s="21" t="s">
        <v>93</v>
      </c>
      <c r="I151" s="32">
        <v>45891.0</v>
      </c>
      <c r="J151" s="19" t="s">
        <v>14</v>
      </c>
      <c r="K151" s="31" t="s">
        <v>35</v>
      </c>
      <c r="L151" s="19" t="s">
        <v>36</v>
      </c>
      <c r="M151" s="34" t="s">
        <v>153</v>
      </c>
      <c r="N151" s="28">
        <v>171.0</v>
      </c>
      <c r="O151" s="22">
        <v>193.74</v>
      </c>
    </row>
    <row r="152" ht="15.75" customHeight="1">
      <c r="A152" s="19" t="s">
        <v>51</v>
      </c>
      <c r="B152" s="19" t="s">
        <v>52</v>
      </c>
      <c r="C152" s="19" t="s">
        <v>28</v>
      </c>
      <c r="D152" s="30">
        <v>45870.0</v>
      </c>
      <c r="E152" s="31">
        <v>150800.0</v>
      </c>
      <c r="F152" s="32">
        <v>45901.0</v>
      </c>
      <c r="G152" s="22">
        <v>40879.14</v>
      </c>
      <c r="H152" s="21" t="s">
        <v>95</v>
      </c>
      <c r="I152" s="32">
        <v>45891.0</v>
      </c>
      <c r="J152" s="19" t="s">
        <v>14</v>
      </c>
      <c r="K152" s="31" t="s">
        <v>35</v>
      </c>
      <c r="L152" s="19" t="s">
        <v>36</v>
      </c>
      <c r="M152" s="34" t="s">
        <v>153</v>
      </c>
      <c r="N152" s="28">
        <v>211.0</v>
      </c>
      <c r="O152" s="22">
        <v>193.74</v>
      </c>
    </row>
    <row r="153" ht="15.75" customHeight="1">
      <c r="A153" s="19" t="s">
        <v>56</v>
      </c>
      <c r="B153" s="19" t="s">
        <v>57</v>
      </c>
      <c r="C153" s="19" t="s">
        <v>58</v>
      </c>
      <c r="D153" s="30">
        <v>45809.0</v>
      </c>
      <c r="E153" s="31">
        <v>40647.0</v>
      </c>
      <c r="F153" s="32">
        <v>45848.0</v>
      </c>
      <c r="G153" s="22">
        <v>31012.8</v>
      </c>
      <c r="H153" s="21" t="s">
        <v>93</v>
      </c>
      <c r="I153" s="32">
        <v>45878.0</v>
      </c>
      <c r="J153" s="19" t="s">
        <v>7</v>
      </c>
      <c r="K153" s="31" t="s">
        <v>154</v>
      </c>
      <c r="L153" s="19" t="s">
        <v>155</v>
      </c>
      <c r="M153" s="34" t="s">
        <v>156</v>
      </c>
      <c r="N153" s="28">
        <v>168.0</v>
      </c>
      <c r="O153" s="22">
        <v>184.6</v>
      </c>
    </row>
    <row r="154" ht="15.75" customHeight="1">
      <c r="A154" s="19" t="s">
        <v>56</v>
      </c>
      <c r="B154" s="19" t="s">
        <v>57</v>
      </c>
      <c r="C154" s="19" t="s">
        <v>58</v>
      </c>
      <c r="D154" s="30">
        <v>45809.0</v>
      </c>
      <c r="E154" s="31">
        <v>40647.0</v>
      </c>
      <c r="F154" s="32">
        <v>45848.0</v>
      </c>
      <c r="G154" s="22">
        <v>31012.8</v>
      </c>
      <c r="H154" s="21" t="s">
        <v>93</v>
      </c>
      <c r="I154" s="32">
        <v>45878.0</v>
      </c>
      <c r="J154" s="19" t="s">
        <v>14</v>
      </c>
      <c r="K154" s="33" t="s">
        <v>157</v>
      </c>
      <c r="L154" s="19" t="s">
        <v>158</v>
      </c>
      <c r="M154" s="33" t="s">
        <v>156</v>
      </c>
      <c r="N154" s="28">
        <v>168.0</v>
      </c>
      <c r="O154" s="22">
        <v>184.6</v>
      </c>
    </row>
    <row r="155" ht="15.75" customHeight="1">
      <c r="A155" s="19" t="s">
        <v>56</v>
      </c>
      <c r="B155" s="19" t="s">
        <v>57</v>
      </c>
      <c r="C155" s="19" t="s">
        <v>58</v>
      </c>
      <c r="D155" s="30">
        <v>45839.0</v>
      </c>
      <c r="E155" s="31">
        <v>41078.0</v>
      </c>
      <c r="F155" s="32">
        <v>45862.0</v>
      </c>
      <c r="G155" s="22">
        <v>29536.0</v>
      </c>
      <c r="H155" s="21" t="s">
        <v>94</v>
      </c>
      <c r="I155" s="32">
        <v>45892.0</v>
      </c>
      <c r="J155" s="19" t="s">
        <v>7</v>
      </c>
      <c r="K155" s="31" t="s">
        <v>154</v>
      </c>
      <c r="L155" s="19" t="s">
        <v>155</v>
      </c>
      <c r="M155" s="34" t="s">
        <v>156</v>
      </c>
      <c r="N155" s="28">
        <v>160.0</v>
      </c>
      <c r="O155" s="22">
        <v>184.6</v>
      </c>
    </row>
    <row r="156" ht="15.75" customHeight="1">
      <c r="A156" s="19" t="s">
        <v>56</v>
      </c>
      <c r="B156" s="19" t="s">
        <v>57</v>
      </c>
      <c r="C156" s="19" t="s">
        <v>58</v>
      </c>
      <c r="D156" s="30">
        <v>45839.0</v>
      </c>
      <c r="E156" s="31">
        <v>41078.0</v>
      </c>
      <c r="F156" s="32">
        <v>45862.0</v>
      </c>
      <c r="G156" s="22">
        <v>29536.0</v>
      </c>
      <c r="H156" s="21" t="s">
        <v>94</v>
      </c>
      <c r="I156" s="32">
        <v>45892.0</v>
      </c>
      <c r="J156" s="19" t="s">
        <v>14</v>
      </c>
      <c r="K156" s="33" t="s">
        <v>157</v>
      </c>
      <c r="L156" s="19" t="s">
        <v>158</v>
      </c>
      <c r="M156" s="33" t="s">
        <v>156</v>
      </c>
      <c r="N156" s="28">
        <v>160.0</v>
      </c>
      <c r="O156" s="22">
        <v>184.6</v>
      </c>
    </row>
    <row r="157" ht="15.75" customHeight="1">
      <c r="A157" s="19" t="s">
        <v>56</v>
      </c>
      <c r="B157" s="19" t="s">
        <v>57</v>
      </c>
      <c r="C157" s="19" t="s">
        <v>58</v>
      </c>
      <c r="D157" s="30">
        <v>45870.0</v>
      </c>
      <c r="E157" s="31">
        <v>41913.0</v>
      </c>
      <c r="F157" s="32">
        <v>45898.0</v>
      </c>
      <c r="G157" s="22">
        <v>33966.4</v>
      </c>
      <c r="H157" s="21" t="s">
        <v>95</v>
      </c>
      <c r="I157" s="32">
        <v>45928.0</v>
      </c>
      <c r="J157" s="19" t="s">
        <v>7</v>
      </c>
      <c r="K157" s="31" t="s">
        <v>154</v>
      </c>
      <c r="L157" s="19" t="s">
        <v>155</v>
      </c>
      <c r="M157" s="34" t="s">
        <v>156</v>
      </c>
      <c r="N157" s="28">
        <v>184.0</v>
      </c>
      <c r="O157" s="22">
        <v>184.6</v>
      </c>
    </row>
    <row r="158" ht="15.75" customHeight="1">
      <c r="A158" s="19" t="s">
        <v>56</v>
      </c>
      <c r="B158" s="19" t="s">
        <v>57</v>
      </c>
      <c r="C158" s="19" t="s">
        <v>58</v>
      </c>
      <c r="D158" s="30">
        <v>45870.0</v>
      </c>
      <c r="E158" s="31">
        <v>41913.0</v>
      </c>
      <c r="F158" s="32">
        <v>45898.0</v>
      </c>
      <c r="G158" s="22">
        <v>20675.2</v>
      </c>
      <c r="H158" s="21" t="s">
        <v>95</v>
      </c>
      <c r="I158" s="32">
        <v>45928.0</v>
      </c>
      <c r="J158" s="19" t="s">
        <v>14</v>
      </c>
      <c r="K158" s="33" t="s">
        <v>157</v>
      </c>
      <c r="L158" s="19" t="s">
        <v>158</v>
      </c>
      <c r="M158" s="33" t="s">
        <v>156</v>
      </c>
      <c r="N158" s="28">
        <v>112.0</v>
      </c>
      <c r="O158" s="22">
        <v>184.6</v>
      </c>
    </row>
    <row r="159" ht="15.75" customHeight="1">
      <c r="A159" s="19" t="s">
        <v>65</v>
      </c>
      <c r="B159" s="19" t="s">
        <v>66</v>
      </c>
      <c r="C159" s="19" t="s">
        <v>19</v>
      </c>
      <c r="D159" s="30">
        <v>45870.0</v>
      </c>
      <c r="E159" s="31">
        <v>3017.0</v>
      </c>
      <c r="F159" s="32">
        <v>45902.0</v>
      </c>
      <c r="G159" s="22">
        <v>43086.23</v>
      </c>
      <c r="H159" s="21" t="s">
        <v>95</v>
      </c>
      <c r="I159" s="32">
        <v>45962.0</v>
      </c>
      <c r="J159" s="19" t="s">
        <v>10</v>
      </c>
      <c r="K159" s="31" t="s">
        <v>39</v>
      </c>
      <c r="L159" s="19" t="s">
        <v>40</v>
      </c>
      <c r="M159" s="34" t="s">
        <v>111</v>
      </c>
      <c r="N159" s="28">
        <v>206.5</v>
      </c>
      <c r="O159" s="22">
        <v>208.65</v>
      </c>
    </row>
    <row r="160" ht="15.75" customHeight="1">
      <c r="A160" s="19" t="s">
        <v>65</v>
      </c>
      <c r="B160" s="19" t="s">
        <v>66</v>
      </c>
      <c r="C160" s="19" t="s">
        <v>19</v>
      </c>
      <c r="D160" s="30">
        <v>45870.0</v>
      </c>
      <c r="E160" s="31">
        <v>3017.0</v>
      </c>
      <c r="F160" s="32">
        <v>45902.0</v>
      </c>
      <c r="G160" s="22">
        <v>34350.96</v>
      </c>
      <c r="H160" s="21" t="s">
        <v>95</v>
      </c>
      <c r="I160" s="32">
        <v>45962.0</v>
      </c>
      <c r="J160" s="19" t="s">
        <v>10</v>
      </c>
      <c r="K160" s="31" t="s">
        <v>41</v>
      </c>
      <c r="L160" s="19" t="s">
        <v>42</v>
      </c>
      <c r="M160" s="34" t="s">
        <v>133</v>
      </c>
      <c r="N160" s="28">
        <v>184.0</v>
      </c>
      <c r="O160" s="22">
        <v>186.69</v>
      </c>
    </row>
    <row r="161" ht="15.75" customHeight="1">
      <c r="A161" s="19" t="s">
        <v>65</v>
      </c>
      <c r="B161" s="19" t="s">
        <v>66</v>
      </c>
      <c r="C161" s="19" t="s">
        <v>19</v>
      </c>
      <c r="D161" s="30">
        <v>45870.0</v>
      </c>
      <c r="E161" s="31">
        <v>3017.0</v>
      </c>
      <c r="F161" s="32">
        <v>45902.0</v>
      </c>
      <c r="G161" s="22">
        <v>42981.9</v>
      </c>
      <c r="H161" s="21" t="s">
        <v>95</v>
      </c>
      <c r="I161" s="32">
        <v>45962.0</v>
      </c>
      <c r="J161" s="19" t="s">
        <v>10</v>
      </c>
      <c r="K161" s="31" t="s">
        <v>37</v>
      </c>
      <c r="L161" s="19" t="s">
        <v>38</v>
      </c>
      <c r="M161" s="34" t="s">
        <v>120</v>
      </c>
      <c r="N161" s="28">
        <v>206.0</v>
      </c>
      <c r="O161" s="22">
        <v>208.65</v>
      </c>
    </row>
    <row r="162" ht="15.75" customHeight="1">
      <c r="A162" s="19" t="s">
        <v>65</v>
      </c>
      <c r="B162" s="19" t="s">
        <v>66</v>
      </c>
      <c r="C162" s="19" t="s">
        <v>19</v>
      </c>
      <c r="D162" s="30">
        <v>45870.0</v>
      </c>
      <c r="E162" s="31">
        <v>3017.0</v>
      </c>
      <c r="F162" s="32">
        <v>45902.0</v>
      </c>
      <c r="G162" s="22">
        <v>26657.57</v>
      </c>
      <c r="H162" s="21" t="s">
        <v>95</v>
      </c>
      <c r="I162" s="32">
        <v>45962.0</v>
      </c>
      <c r="J162" s="19" t="s">
        <v>10</v>
      </c>
      <c r="K162" s="31" t="s">
        <v>43</v>
      </c>
      <c r="L162" s="19" t="s">
        <v>44</v>
      </c>
      <c r="M162" s="34" t="s">
        <v>111</v>
      </c>
      <c r="N162" s="28">
        <v>0.0</v>
      </c>
      <c r="O162" s="22">
        <v>0.0</v>
      </c>
    </row>
    <row r="163" ht="15.75" customHeight="1">
      <c r="A163" s="19" t="s">
        <v>65</v>
      </c>
      <c r="B163" s="19" t="s">
        <v>66</v>
      </c>
      <c r="C163" s="19" t="s">
        <v>19</v>
      </c>
      <c r="D163" s="30">
        <v>45870.0</v>
      </c>
      <c r="E163" s="31">
        <v>3018.0</v>
      </c>
      <c r="F163" s="32">
        <v>45902.0</v>
      </c>
      <c r="G163" s="22">
        <v>42147.0</v>
      </c>
      <c r="H163" s="21" t="s">
        <v>95</v>
      </c>
      <c r="I163" s="32">
        <v>45962.0</v>
      </c>
      <c r="J163" s="19" t="s">
        <v>14</v>
      </c>
      <c r="K163" s="31" t="s">
        <v>20</v>
      </c>
      <c r="L163" s="19" t="s">
        <v>21</v>
      </c>
      <c r="M163" s="34" t="s">
        <v>111</v>
      </c>
      <c r="N163" s="28">
        <v>189.0</v>
      </c>
      <c r="O163" s="22">
        <v>223.0</v>
      </c>
    </row>
    <row r="164" ht="15.75" customHeight="1">
      <c r="A164" s="19" t="s">
        <v>65</v>
      </c>
      <c r="B164" s="19" t="s">
        <v>66</v>
      </c>
      <c r="C164" s="19" t="s">
        <v>19</v>
      </c>
      <c r="D164" s="30">
        <v>45870.0</v>
      </c>
      <c r="E164" s="31">
        <v>3018.0</v>
      </c>
      <c r="F164" s="32">
        <v>45902.0</v>
      </c>
      <c r="G164" s="22">
        <v>40269.45</v>
      </c>
      <c r="H164" s="21" t="s">
        <v>95</v>
      </c>
      <c r="I164" s="32">
        <v>45962.0</v>
      </c>
      <c r="J164" s="19" t="s">
        <v>14</v>
      </c>
      <c r="K164" s="31" t="s">
        <v>22</v>
      </c>
      <c r="L164" s="19" t="s">
        <v>23</v>
      </c>
      <c r="M164" s="34" t="s">
        <v>119</v>
      </c>
      <c r="N164" s="28">
        <v>193.0</v>
      </c>
      <c r="O164" s="22">
        <v>208.65</v>
      </c>
    </row>
    <row r="165" ht="15.75" customHeight="1">
      <c r="A165" s="19" t="s">
        <v>65</v>
      </c>
      <c r="B165" s="19" t="s">
        <v>66</v>
      </c>
      <c r="C165" s="19" t="s">
        <v>19</v>
      </c>
      <c r="D165" s="30">
        <v>45870.0</v>
      </c>
      <c r="E165" s="31">
        <v>3018.0</v>
      </c>
      <c r="F165" s="32">
        <v>45902.0</v>
      </c>
      <c r="G165" s="22">
        <v>38808.9</v>
      </c>
      <c r="H165" s="21" t="s">
        <v>95</v>
      </c>
      <c r="I165" s="32">
        <v>45962.0</v>
      </c>
      <c r="J165" s="19" t="s">
        <v>14</v>
      </c>
      <c r="K165" s="31" t="s">
        <v>24</v>
      </c>
      <c r="L165" s="19" t="s">
        <v>25</v>
      </c>
      <c r="M165" s="34" t="s">
        <v>111</v>
      </c>
      <c r="N165" s="28">
        <v>186.0</v>
      </c>
      <c r="O165" s="22">
        <v>208.65</v>
      </c>
    </row>
    <row r="166" ht="15.75" customHeight="1">
      <c r="A166" s="19" t="s">
        <v>65</v>
      </c>
      <c r="B166" s="19" t="s">
        <v>66</v>
      </c>
      <c r="C166" s="19" t="s">
        <v>19</v>
      </c>
      <c r="D166" s="30">
        <v>45870.0</v>
      </c>
      <c r="E166" s="31">
        <v>3019.0</v>
      </c>
      <c r="F166" s="32">
        <v>45902.0</v>
      </c>
      <c r="G166" s="22">
        <v>38391.6</v>
      </c>
      <c r="H166" s="21" t="s">
        <v>95</v>
      </c>
      <c r="I166" s="32">
        <v>45962.0</v>
      </c>
      <c r="J166" s="19" t="s">
        <v>7</v>
      </c>
      <c r="K166" s="31" t="s">
        <v>26</v>
      </c>
      <c r="L166" s="19" t="s">
        <v>27</v>
      </c>
      <c r="M166" s="34" t="s">
        <v>111</v>
      </c>
      <c r="N166" s="28">
        <v>186.0</v>
      </c>
      <c r="O166" s="22">
        <v>208.65</v>
      </c>
    </row>
    <row r="167" ht="15.75" customHeight="1">
      <c r="A167" s="19" t="s">
        <v>65</v>
      </c>
      <c r="B167" s="19" t="s">
        <v>66</v>
      </c>
      <c r="C167" s="19" t="s">
        <v>19</v>
      </c>
      <c r="D167" s="30">
        <v>45870.0</v>
      </c>
      <c r="E167" s="31">
        <v>3020.0</v>
      </c>
      <c r="F167" s="32">
        <v>45902.0</v>
      </c>
      <c r="G167" s="22">
        <v>37863.2</v>
      </c>
      <c r="H167" s="21" t="s">
        <v>95</v>
      </c>
      <c r="I167" s="32">
        <v>45962.0</v>
      </c>
      <c r="J167" s="19" t="s">
        <v>14</v>
      </c>
      <c r="K167" s="31" t="s">
        <v>141</v>
      </c>
      <c r="L167" s="19" t="s">
        <v>142</v>
      </c>
      <c r="M167" s="34" t="s">
        <v>143</v>
      </c>
      <c r="N167" s="28">
        <v>188.0</v>
      </c>
      <c r="O167" s="22">
        <v>208.65</v>
      </c>
    </row>
    <row r="168" ht="15.75" customHeight="1">
      <c r="A168" s="19" t="s">
        <v>51</v>
      </c>
      <c r="B168" s="19" t="s">
        <v>52</v>
      </c>
      <c r="C168" s="19" t="s">
        <v>28</v>
      </c>
      <c r="D168" s="30">
        <v>45870.0</v>
      </c>
      <c r="E168" s="31">
        <v>150796.0</v>
      </c>
      <c r="F168" s="32">
        <v>45901.0</v>
      </c>
      <c r="G168" s="22">
        <v>33757.68</v>
      </c>
      <c r="H168" s="21" t="s">
        <v>95</v>
      </c>
      <c r="I168" s="32">
        <v>45946.0</v>
      </c>
      <c r="J168" s="19" t="s">
        <v>7</v>
      </c>
      <c r="K168" s="31" t="s">
        <v>145</v>
      </c>
      <c r="L168" s="19" t="s">
        <v>146</v>
      </c>
      <c r="M168" s="34" t="s">
        <v>147</v>
      </c>
      <c r="N168" s="28">
        <v>152.0</v>
      </c>
      <c r="O168" s="22">
        <v>222.09</v>
      </c>
    </row>
    <row r="169" ht="15.75" customHeight="1">
      <c r="A169" s="19" t="s">
        <v>51</v>
      </c>
      <c r="B169" s="19" t="s">
        <v>52</v>
      </c>
      <c r="C169" s="19" t="s">
        <v>28</v>
      </c>
      <c r="D169" s="30">
        <v>45870.0</v>
      </c>
      <c r="E169" s="31">
        <v>150797.0</v>
      </c>
      <c r="F169" s="32">
        <v>45901.0</v>
      </c>
      <c r="G169" s="22">
        <v>36264.96</v>
      </c>
      <c r="H169" s="21" t="s">
        <v>95</v>
      </c>
      <c r="I169" s="32">
        <v>45946.0</v>
      </c>
      <c r="J169" s="19" t="s">
        <v>7</v>
      </c>
      <c r="K169" s="31" t="s">
        <v>29</v>
      </c>
      <c r="L169" s="19" t="s">
        <v>30</v>
      </c>
      <c r="M169" s="34" t="s">
        <v>144</v>
      </c>
      <c r="N169" s="28">
        <v>128.0</v>
      </c>
      <c r="O169" s="22">
        <v>283.32</v>
      </c>
    </row>
    <row r="170" ht="15.75" customHeight="1">
      <c r="A170" s="19" t="s">
        <v>51</v>
      </c>
      <c r="B170" s="19" t="s">
        <v>52</v>
      </c>
      <c r="C170" s="19" t="s">
        <v>28</v>
      </c>
      <c r="D170" s="30">
        <v>45870.0</v>
      </c>
      <c r="E170" s="31">
        <v>150839.0</v>
      </c>
      <c r="F170" s="32">
        <v>45902.0</v>
      </c>
      <c r="G170" s="22">
        <v>54964.08</v>
      </c>
      <c r="H170" s="21" t="s">
        <v>95</v>
      </c>
      <c r="I170" s="32">
        <v>45946.0</v>
      </c>
      <c r="J170" s="19" t="s">
        <v>14</v>
      </c>
      <c r="K170" s="31" t="s">
        <v>122</v>
      </c>
      <c r="L170" s="19" t="s">
        <v>123</v>
      </c>
      <c r="M170" s="34" t="s">
        <v>114</v>
      </c>
      <c r="N170" s="28">
        <v>194.0</v>
      </c>
      <c r="O170" s="22">
        <v>283.32</v>
      </c>
    </row>
    <row r="171" ht="15.75" customHeight="1">
      <c r="A171" s="19" t="s">
        <v>51</v>
      </c>
      <c r="B171" s="19" t="s">
        <v>52</v>
      </c>
      <c r="C171" s="19" t="s">
        <v>28</v>
      </c>
      <c r="D171" s="30">
        <v>45870.0</v>
      </c>
      <c r="E171" s="31">
        <v>150839.0</v>
      </c>
      <c r="F171" s="32">
        <v>45902.0</v>
      </c>
      <c r="G171" s="22">
        <v>23702.88</v>
      </c>
      <c r="H171" s="21" t="s">
        <v>95</v>
      </c>
      <c r="I171" s="32">
        <v>45946.0</v>
      </c>
      <c r="J171" s="19" t="s">
        <v>14</v>
      </c>
      <c r="K171" s="31" t="s">
        <v>129</v>
      </c>
      <c r="L171" s="19" t="s">
        <v>130</v>
      </c>
      <c r="M171" s="34" t="s">
        <v>111</v>
      </c>
      <c r="N171" s="28">
        <v>92.0</v>
      </c>
      <c r="O171" s="22">
        <v>257.64</v>
      </c>
    </row>
    <row r="172" ht="15.75" customHeight="1">
      <c r="A172" s="19" t="s">
        <v>51</v>
      </c>
      <c r="B172" s="19" t="s">
        <v>52</v>
      </c>
      <c r="C172" s="19" t="s">
        <v>28</v>
      </c>
      <c r="D172" s="30">
        <v>45870.0</v>
      </c>
      <c r="E172" s="31">
        <v>150840.0</v>
      </c>
      <c r="F172" s="32">
        <v>45902.0</v>
      </c>
      <c r="G172" s="22">
        <v>47550.04</v>
      </c>
      <c r="H172" s="21" t="s">
        <v>95</v>
      </c>
      <c r="I172" s="32">
        <v>45946.0</v>
      </c>
      <c r="J172" s="19" t="s">
        <v>7</v>
      </c>
      <c r="K172" s="31" t="s">
        <v>31</v>
      </c>
      <c r="L172" s="19" t="s">
        <v>113</v>
      </c>
      <c r="M172" s="34" t="s">
        <v>114</v>
      </c>
      <c r="N172" s="28">
        <v>184.56</v>
      </c>
      <c r="O172" s="22">
        <v>257.64</v>
      </c>
    </row>
    <row r="173" ht="15.75" customHeight="1">
      <c r="A173" s="19" t="s">
        <v>51</v>
      </c>
      <c r="B173" s="19" t="s">
        <v>52</v>
      </c>
      <c r="C173" s="19" t="s">
        <v>28</v>
      </c>
      <c r="D173" s="30">
        <v>45870.0</v>
      </c>
      <c r="E173" s="31">
        <v>150840.0</v>
      </c>
      <c r="F173" s="32">
        <v>45902.0</v>
      </c>
      <c r="G173" s="22">
        <v>37687.32</v>
      </c>
      <c r="H173" s="21" t="s">
        <v>95</v>
      </c>
      <c r="I173" s="32">
        <v>45946.0</v>
      </c>
      <c r="J173" s="19" t="s">
        <v>7</v>
      </c>
      <c r="K173" s="31" t="s">
        <v>127</v>
      </c>
      <c r="L173" s="19" t="s">
        <v>128</v>
      </c>
      <c r="M173" s="34" t="s">
        <v>111</v>
      </c>
      <c r="N173" s="28">
        <v>186.0</v>
      </c>
      <c r="O173" s="22">
        <v>202.62</v>
      </c>
    </row>
    <row r="174" ht="15.75" customHeight="1">
      <c r="A174" s="19" t="s">
        <v>51</v>
      </c>
      <c r="B174" s="19" t="s">
        <v>52</v>
      </c>
      <c r="C174" s="19" t="s">
        <v>28</v>
      </c>
      <c r="D174" s="30">
        <v>45870.0</v>
      </c>
      <c r="E174" s="31">
        <v>150840.0</v>
      </c>
      <c r="F174" s="32">
        <v>45902.0</v>
      </c>
      <c r="G174" s="22">
        <v>37687.32</v>
      </c>
      <c r="H174" s="21" t="s">
        <v>95</v>
      </c>
      <c r="I174" s="32">
        <v>45946.0</v>
      </c>
      <c r="J174" s="19" t="s">
        <v>7</v>
      </c>
      <c r="K174" s="31" t="s">
        <v>134</v>
      </c>
      <c r="L174" s="19" t="s">
        <v>135</v>
      </c>
      <c r="M174" s="34" t="s">
        <v>111</v>
      </c>
      <c r="N174" s="28">
        <v>186.0</v>
      </c>
      <c r="O174" s="22">
        <v>202.62</v>
      </c>
    </row>
    <row r="175" ht="15.75" customHeight="1">
      <c r="A175" s="19" t="s">
        <v>51</v>
      </c>
      <c r="B175" s="19" t="s">
        <v>52</v>
      </c>
      <c r="C175" s="19" t="s">
        <v>28</v>
      </c>
      <c r="D175" s="30">
        <v>45870.0</v>
      </c>
      <c r="E175" s="31">
        <v>150840.0</v>
      </c>
      <c r="F175" s="32">
        <v>45902.0</v>
      </c>
      <c r="G175" s="22">
        <v>52130.88</v>
      </c>
      <c r="H175" s="21" t="s">
        <v>95</v>
      </c>
      <c r="I175" s="32">
        <v>45946.0</v>
      </c>
      <c r="J175" s="19" t="s">
        <v>7</v>
      </c>
      <c r="K175" s="31" t="s">
        <v>33</v>
      </c>
      <c r="L175" s="19" t="s">
        <v>112</v>
      </c>
      <c r="M175" s="34" t="s">
        <v>111</v>
      </c>
      <c r="N175" s="28">
        <v>184.0</v>
      </c>
      <c r="O175" s="22">
        <v>283.32</v>
      </c>
    </row>
    <row r="176" ht="15.75" customHeight="1">
      <c r="A176" s="19" t="s">
        <v>59</v>
      </c>
      <c r="B176" s="19" t="s">
        <v>60</v>
      </c>
      <c r="C176" s="19" t="s">
        <v>61</v>
      </c>
      <c r="D176" s="30">
        <v>45870.0</v>
      </c>
      <c r="E176" s="31">
        <v>15487.0</v>
      </c>
      <c r="F176" s="32">
        <v>45901.0</v>
      </c>
      <c r="G176" s="22">
        <v>37904.78</v>
      </c>
      <c r="H176" s="21" t="s">
        <v>95</v>
      </c>
      <c r="I176" s="32">
        <v>45931.0</v>
      </c>
      <c r="J176" s="19" t="s">
        <v>14</v>
      </c>
      <c r="K176" s="31" t="s">
        <v>148</v>
      </c>
      <c r="L176" s="19" t="s">
        <v>149</v>
      </c>
      <c r="M176" s="34" t="s">
        <v>150</v>
      </c>
      <c r="N176" s="28">
        <v>196.52</v>
      </c>
      <c r="O176" s="22">
        <v>192.88</v>
      </c>
    </row>
    <row r="177" ht="15.75" customHeight="1">
      <c r="A177" s="19" t="s">
        <v>62</v>
      </c>
      <c r="B177" s="19" t="s">
        <v>63</v>
      </c>
      <c r="C177" s="19" t="s">
        <v>64</v>
      </c>
      <c r="D177" s="30">
        <v>45870.0</v>
      </c>
      <c r="E177" s="31">
        <v>1119.0</v>
      </c>
      <c r="F177" s="32">
        <v>45911.0</v>
      </c>
      <c r="G177" s="22">
        <v>39118.77</v>
      </c>
      <c r="H177" s="21" t="s">
        <v>95</v>
      </c>
      <c r="I177" s="32">
        <v>45941.0</v>
      </c>
      <c r="J177" s="19" t="s">
        <v>7</v>
      </c>
      <c r="K177" s="33" t="s">
        <v>136</v>
      </c>
      <c r="L177" s="31" t="s">
        <v>137</v>
      </c>
      <c r="M177" s="33" t="s">
        <v>138</v>
      </c>
      <c r="N177" s="28">
        <v>159.0</v>
      </c>
      <c r="O177" s="22">
        <v>246.03</v>
      </c>
    </row>
    <row r="178" ht="15.75" customHeight="1">
      <c r="A178" s="19" t="s">
        <v>53</v>
      </c>
      <c r="B178" s="19" t="s">
        <v>54</v>
      </c>
      <c r="C178" s="19" t="s">
        <v>55</v>
      </c>
      <c r="D178" s="30">
        <v>45870.0</v>
      </c>
      <c r="E178" s="31">
        <v>24268.0</v>
      </c>
      <c r="F178" s="32">
        <v>45912.0</v>
      </c>
      <c r="G178" s="22">
        <v>25854.47</v>
      </c>
      <c r="H178" s="21" t="s">
        <v>95</v>
      </c>
      <c r="I178" s="32">
        <v>45981.0</v>
      </c>
      <c r="J178" s="19" t="s">
        <v>7</v>
      </c>
      <c r="K178" s="33" t="s">
        <v>151</v>
      </c>
      <c r="L178" s="19" t="s">
        <v>152</v>
      </c>
      <c r="M178" s="33" t="s">
        <v>150</v>
      </c>
      <c r="N178" s="28">
        <v>136.0</v>
      </c>
      <c r="O178" s="22">
        <v>186.0</v>
      </c>
    </row>
    <row r="179" ht="15.75" customHeight="1">
      <c r="A179" s="19" t="s">
        <v>51</v>
      </c>
      <c r="B179" s="19" t="s">
        <v>52</v>
      </c>
      <c r="C179" s="19" t="s">
        <v>28</v>
      </c>
      <c r="D179" s="30">
        <v>45901.0</v>
      </c>
      <c r="E179" s="31">
        <v>152210.0</v>
      </c>
      <c r="F179" s="32">
        <v>45946.0</v>
      </c>
      <c r="G179" s="22">
        <v>33039.13</v>
      </c>
      <c r="H179" s="21" t="s">
        <v>96</v>
      </c>
      <c r="I179" s="32">
        <v>45991.0</v>
      </c>
      <c r="J179" s="19" t="s">
        <v>14</v>
      </c>
      <c r="K179" s="31" t="s">
        <v>35</v>
      </c>
      <c r="L179" s="19" t="s">
        <v>36</v>
      </c>
      <c r="M179" s="34" t="s">
        <v>153</v>
      </c>
      <c r="N179" s="28">
        <v>170.54</v>
      </c>
      <c r="O179" s="22">
        <v>193.74</v>
      </c>
    </row>
    <row r="180" ht="15.75" customHeight="1">
      <c r="A180" s="19" t="s">
        <v>51</v>
      </c>
      <c r="B180" s="19" t="s">
        <v>52</v>
      </c>
      <c r="C180" s="19" t="s">
        <v>28</v>
      </c>
      <c r="D180" s="30">
        <v>45901.0</v>
      </c>
      <c r="E180" s="31">
        <v>151728.0</v>
      </c>
      <c r="F180" s="32">
        <v>45931.0</v>
      </c>
      <c r="G180" s="22">
        <v>28375.7</v>
      </c>
      <c r="H180" s="21" t="s">
        <v>96</v>
      </c>
      <c r="I180" s="32">
        <v>45976.0</v>
      </c>
      <c r="J180" s="19" t="s">
        <v>7</v>
      </c>
      <c r="K180" s="31" t="s">
        <v>145</v>
      </c>
      <c r="L180" s="19" t="s">
        <v>146</v>
      </c>
      <c r="M180" s="34" t="s">
        <v>147</v>
      </c>
      <c r="N180" s="28">
        <v>127.76</v>
      </c>
      <c r="O180" s="22">
        <v>222.09</v>
      </c>
    </row>
    <row r="181" ht="15.75" customHeight="1">
      <c r="A181" s="19" t="s">
        <v>51</v>
      </c>
      <c r="B181" s="19" t="s">
        <v>52</v>
      </c>
      <c r="C181" s="19" t="s">
        <v>28</v>
      </c>
      <c r="D181" s="30">
        <v>45901.0</v>
      </c>
      <c r="E181" s="31">
        <v>152211.0</v>
      </c>
      <c r="F181" s="32">
        <v>45946.0</v>
      </c>
      <c r="G181" s="22">
        <v>47984.96</v>
      </c>
      <c r="H181" s="21" t="s">
        <v>96</v>
      </c>
      <c r="I181" s="32">
        <v>45991.0</v>
      </c>
      <c r="J181" s="19" t="s">
        <v>14</v>
      </c>
      <c r="K181" s="31" t="s">
        <v>122</v>
      </c>
      <c r="L181" s="19" t="s">
        <v>123</v>
      </c>
      <c r="M181" s="34" t="s">
        <v>114</v>
      </c>
      <c r="N181" s="28">
        <v>169.2</v>
      </c>
      <c r="O181" s="22">
        <v>283.32</v>
      </c>
    </row>
    <row r="182" ht="15.75" customHeight="1">
      <c r="A182" s="19" t="s">
        <v>51</v>
      </c>
      <c r="B182" s="19" t="s">
        <v>52</v>
      </c>
      <c r="C182" s="19" t="s">
        <v>28</v>
      </c>
      <c r="D182" s="30">
        <v>45901.0</v>
      </c>
      <c r="E182" s="31">
        <v>152211.0</v>
      </c>
      <c r="F182" s="32">
        <v>45946.0</v>
      </c>
      <c r="G182" s="22">
        <v>20452.32</v>
      </c>
      <c r="H182" s="21" t="s">
        <v>96</v>
      </c>
      <c r="I182" s="32">
        <v>45991.0</v>
      </c>
      <c r="J182" s="19" t="s">
        <v>14</v>
      </c>
      <c r="K182" s="31" t="s">
        <v>129</v>
      </c>
      <c r="L182" s="19" t="s">
        <v>130</v>
      </c>
      <c r="M182" s="34" t="s">
        <v>111</v>
      </c>
      <c r="N182" s="28">
        <v>79.2</v>
      </c>
      <c r="O182" s="22">
        <v>257.64</v>
      </c>
    </row>
    <row r="183" ht="15.75" customHeight="1">
      <c r="A183" s="19" t="s">
        <v>51</v>
      </c>
      <c r="B183" s="19" t="s">
        <v>52</v>
      </c>
      <c r="C183" s="19" t="s">
        <v>28</v>
      </c>
      <c r="D183" s="30">
        <v>45901.0</v>
      </c>
      <c r="E183" s="31">
        <v>151739.0</v>
      </c>
      <c r="F183" s="32">
        <v>45931.0</v>
      </c>
      <c r="G183" s="22">
        <v>47484.43</v>
      </c>
      <c r="H183" s="21" t="s">
        <v>96</v>
      </c>
      <c r="I183" s="32">
        <v>45976.0</v>
      </c>
      <c r="J183" s="19" t="s">
        <v>7</v>
      </c>
      <c r="K183" s="31" t="s">
        <v>31</v>
      </c>
      <c r="L183" s="19" t="s">
        <v>113</v>
      </c>
      <c r="M183" s="34" t="s">
        <v>114</v>
      </c>
      <c r="N183" s="28">
        <v>167.3</v>
      </c>
      <c r="O183" s="22">
        <v>283.32</v>
      </c>
    </row>
    <row r="184" ht="15.75" customHeight="1">
      <c r="A184" s="19" t="s">
        <v>51</v>
      </c>
      <c r="B184" s="19" t="s">
        <v>52</v>
      </c>
      <c r="C184" s="19" t="s">
        <v>28</v>
      </c>
      <c r="D184" s="30">
        <v>45901.0</v>
      </c>
      <c r="E184" s="31">
        <v>151739.0</v>
      </c>
      <c r="F184" s="32">
        <v>45931.0</v>
      </c>
      <c r="G184" s="22">
        <v>43158.99</v>
      </c>
      <c r="H184" s="21" t="s">
        <v>96</v>
      </c>
      <c r="I184" s="32">
        <v>45976.0</v>
      </c>
      <c r="J184" s="19" t="s">
        <v>7</v>
      </c>
      <c r="K184" s="31" t="s">
        <v>127</v>
      </c>
      <c r="L184" s="19" t="s">
        <v>128</v>
      </c>
      <c r="M184" s="34" t="s">
        <v>111</v>
      </c>
      <c r="N184" s="28">
        <v>167.3</v>
      </c>
      <c r="O184" s="22">
        <v>257.64</v>
      </c>
    </row>
    <row r="185" ht="15.75" customHeight="1">
      <c r="A185" s="19" t="s">
        <v>51</v>
      </c>
      <c r="B185" s="19" t="s">
        <v>52</v>
      </c>
      <c r="C185" s="19" t="s">
        <v>28</v>
      </c>
      <c r="D185" s="30">
        <v>45901.0</v>
      </c>
      <c r="E185" s="31">
        <v>151739.0</v>
      </c>
      <c r="F185" s="32">
        <v>45931.0</v>
      </c>
      <c r="G185" s="22">
        <v>34090.82</v>
      </c>
      <c r="H185" s="21" t="s">
        <v>96</v>
      </c>
      <c r="I185" s="32">
        <v>45976.0</v>
      </c>
      <c r="J185" s="19" t="s">
        <v>7</v>
      </c>
      <c r="K185" s="31" t="s">
        <v>134</v>
      </c>
      <c r="L185" s="19" t="s">
        <v>135</v>
      </c>
      <c r="M185" s="34" t="s">
        <v>111</v>
      </c>
      <c r="N185" s="28">
        <v>168.0</v>
      </c>
      <c r="O185" s="22">
        <v>202.62</v>
      </c>
    </row>
    <row r="186" ht="15.75" customHeight="1">
      <c r="A186" s="19" t="s">
        <v>51</v>
      </c>
      <c r="B186" s="19" t="s">
        <v>52</v>
      </c>
      <c r="C186" s="19" t="s">
        <v>28</v>
      </c>
      <c r="D186" s="30">
        <v>45901.0</v>
      </c>
      <c r="E186" s="31">
        <v>151739.0</v>
      </c>
      <c r="F186" s="32">
        <v>45931.0</v>
      </c>
      <c r="G186" s="22">
        <v>33587.64</v>
      </c>
      <c r="H186" s="21" t="s">
        <v>96</v>
      </c>
      <c r="I186" s="32">
        <v>45976.0</v>
      </c>
      <c r="J186" s="19" t="s">
        <v>7</v>
      </c>
      <c r="K186" s="31" t="s">
        <v>33</v>
      </c>
      <c r="L186" s="19" t="s">
        <v>112</v>
      </c>
      <c r="M186" s="34" t="s">
        <v>111</v>
      </c>
      <c r="N186" s="28">
        <v>165.0</v>
      </c>
      <c r="O186" s="22">
        <v>202.62</v>
      </c>
    </row>
    <row r="187" ht="15.75" customHeight="1">
      <c r="A187" s="19" t="s">
        <v>51</v>
      </c>
      <c r="B187" s="19" t="s">
        <v>52</v>
      </c>
      <c r="C187" s="19" t="s">
        <v>28</v>
      </c>
      <c r="D187" s="30">
        <v>45901.0</v>
      </c>
      <c r="E187" s="31">
        <v>151753.0</v>
      </c>
      <c r="F187" s="32">
        <v>45931.0</v>
      </c>
      <c r="G187" s="22">
        <v>47597.76</v>
      </c>
      <c r="H187" s="21" t="s">
        <v>96</v>
      </c>
      <c r="I187" s="32">
        <v>45976.0</v>
      </c>
      <c r="J187" s="19" t="s">
        <v>7</v>
      </c>
      <c r="K187" s="31" t="s">
        <v>29</v>
      </c>
      <c r="L187" s="19" t="s">
        <v>30</v>
      </c>
      <c r="M187" s="34" t="s">
        <v>144</v>
      </c>
      <c r="N187" s="28">
        <v>168.0</v>
      </c>
      <c r="O187" s="22">
        <v>283.32</v>
      </c>
    </row>
    <row r="188" ht="15.75" customHeight="1">
      <c r="A188" s="19" t="s">
        <v>65</v>
      </c>
      <c r="B188" s="19" t="s">
        <v>66</v>
      </c>
      <c r="C188" s="19" t="s">
        <v>19</v>
      </c>
      <c r="D188" s="30">
        <v>45901.0</v>
      </c>
      <c r="E188" s="31">
        <v>3089.0</v>
      </c>
      <c r="F188" s="32">
        <v>45938.0</v>
      </c>
      <c r="G188" s="22">
        <v>33029.6</v>
      </c>
      <c r="H188" s="21" t="s">
        <v>96</v>
      </c>
      <c r="I188" s="32">
        <v>45998.0</v>
      </c>
      <c r="J188" s="19" t="s">
        <v>14</v>
      </c>
      <c r="K188" s="31" t="s">
        <v>141</v>
      </c>
      <c r="L188" s="19" t="s">
        <v>142</v>
      </c>
      <c r="M188" s="34" t="s">
        <v>143</v>
      </c>
      <c r="N188" s="28">
        <v>164.0</v>
      </c>
      <c r="O188" s="22">
        <v>201.4</v>
      </c>
    </row>
    <row r="189" ht="15.75" customHeight="1">
      <c r="A189" s="19" t="s">
        <v>53</v>
      </c>
      <c r="B189" s="19" t="s">
        <v>54</v>
      </c>
      <c r="C189" s="19" t="s">
        <v>55</v>
      </c>
      <c r="D189" s="30">
        <v>45901.0</v>
      </c>
      <c r="E189" s="31">
        <v>24848.0</v>
      </c>
      <c r="F189" s="32">
        <v>45950.0</v>
      </c>
      <c r="G189" s="22">
        <v>18105.87</v>
      </c>
      <c r="H189" s="21" t="s">
        <v>96</v>
      </c>
      <c r="I189" s="32">
        <v>46010.0</v>
      </c>
      <c r="J189" s="19" t="s">
        <v>7</v>
      </c>
      <c r="K189" s="33" t="s">
        <v>151</v>
      </c>
      <c r="L189" s="19" t="s">
        <v>152</v>
      </c>
      <c r="M189" s="33" t="s">
        <v>150</v>
      </c>
      <c r="N189" s="28">
        <v>199.33</v>
      </c>
      <c r="O189" s="22">
        <v>186.0</v>
      </c>
    </row>
    <row r="190" ht="15.75" customHeight="1">
      <c r="A190" s="19" t="s">
        <v>59</v>
      </c>
      <c r="B190" s="19" t="s">
        <v>60</v>
      </c>
      <c r="C190" s="19" t="s">
        <v>61</v>
      </c>
      <c r="D190" s="30">
        <v>45901.0</v>
      </c>
      <c r="E190" s="31">
        <v>15634.0</v>
      </c>
      <c r="F190" s="32">
        <v>45931.0</v>
      </c>
      <c r="G190" s="22">
        <v>33873.59</v>
      </c>
      <c r="H190" s="21" t="s">
        <v>96</v>
      </c>
      <c r="I190" s="32">
        <v>45961.0</v>
      </c>
      <c r="J190" s="19" t="s">
        <v>14</v>
      </c>
      <c r="K190" s="31" t="s">
        <v>148</v>
      </c>
      <c r="L190" s="19" t="s">
        <v>149</v>
      </c>
      <c r="M190" s="34" t="s">
        <v>150</v>
      </c>
      <c r="N190" s="28">
        <v>175.62</v>
      </c>
      <c r="O190" s="22">
        <v>192.88</v>
      </c>
    </row>
    <row r="191" ht="15.75" customHeight="1">
      <c r="A191" s="19" t="s">
        <v>56</v>
      </c>
      <c r="B191" s="19" t="s">
        <v>57</v>
      </c>
      <c r="C191" s="19" t="s">
        <v>58</v>
      </c>
      <c r="D191" s="30">
        <v>45901.0</v>
      </c>
      <c r="E191" s="31">
        <v>43374.0</v>
      </c>
      <c r="F191" s="32">
        <v>45946.0</v>
      </c>
      <c r="G191" s="22">
        <v>37616.67</v>
      </c>
      <c r="H191" s="21" t="s">
        <v>96</v>
      </c>
      <c r="I191" s="32">
        <v>45976.0</v>
      </c>
      <c r="J191" s="19" t="s">
        <v>7</v>
      </c>
      <c r="K191" s="31" t="s">
        <v>154</v>
      </c>
      <c r="L191" s="19" t="s">
        <v>155</v>
      </c>
      <c r="M191" s="34" t="s">
        <v>156</v>
      </c>
      <c r="N191" s="28">
        <v>204.75</v>
      </c>
      <c r="O191" s="22">
        <v>184.6</v>
      </c>
    </row>
    <row r="192" ht="15.75" customHeight="1">
      <c r="A192" s="19" t="s">
        <v>65</v>
      </c>
      <c r="B192" s="19" t="s">
        <v>66</v>
      </c>
      <c r="C192" s="19" t="s">
        <v>19</v>
      </c>
      <c r="D192" s="30">
        <v>45901.0</v>
      </c>
      <c r="E192" s="31">
        <v>3109.0</v>
      </c>
      <c r="F192" s="32">
        <v>45946.0</v>
      </c>
      <c r="G192" s="22">
        <v>35470.5</v>
      </c>
      <c r="H192" s="21" t="s">
        <v>96</v>
      </c>
      <c r="I192" s="32">
        <v>45992.0</v>
      </c>
      <c r="J192" s="19" t="s">
        <v>10</v>
      </c>
      <c r="K192" s="31" t="s">
        <v>39</v>
      </c>
      <c r="L192" s="19" t="s">
        <v>40</v>
      </c>
      <c r="M192" s="34" t="s">
        <v>111</v>
      </c>
      <c r="N192" s="28">
        <v>170.0</v>
      </c>
      <c r="O192" s="22">
        <v>208.65</v>
      </c>
    </row>
    <row r="193" ht="15.75" customHeight="1">
      <c r="A193" s="19" t="s">
        <v>65</v>
      </c>
      <c r="B193" s="19" t="s">
        <v>66</v>
      </c>
      <c r="C193" s="19" t="s">
        <v>19</v>
      </c>
      <c r="D193" s="30">
        <v>45901.0</v>
      </c>
      <c r="E193" s="31">
        <v>3109.0</v>
      </c>
      <c r="F193" s="32">
        <v>45946.0</v>
      </c>
      <c r="G193" s="22">
        <v>32297.37</v>
      </c>
      <c r="H193" s="21" t="s">
        <v>96</v>
      </c>
      <c r="I193" s="32">
        <v>45992.0</v>
      </c>
      <c r="J193" s="19" t="s">
        <v>10</v>
      </c>
      <c r="K193" s="31" t="s">
        <v>41</v>
      </c>
      <c r="L193" s="19" t="s">
        <v>42</v>
      </c>
      <c r="M193" s="34" t="s">
        <v>133</v>
      </c>
      <c r="N193" s="28">
        <v>173.0</v>
      </c>
      <c r="O193" s="22">
        <v>186.69</v>
      </c>
    </row>
    <row r="194" ht="15.75" customHeight="1">
      <c r="A194" s="19" t="s">
        <v>65</v>
      </c>
      <c r="B194" s="19" t="s">
        <v>66</v>
      </c>
      <c r="C194" s="19" t="s">
        <v>19</v>
      </c>
      <c r="D194" s="30">
        <v>45901.0</v>
      </c>
      <c r="E194" s="31">
        <v>3109.0</v>
      </c>
      <c r="F194" s="32">
        <v>45946.0</v>
      </c>
      <c r="G194" s="22">
        <v>36305.1</v>
      </c>
      <c r="H194" s="21" t="s">
        <v>96</v>
      </c>
      <c r="I194" s="32">
        <v>45992.0</v>
      </c>
      <c r="J194" s="19" t="s">
        <v>10</v>
      </c>
      <c r="K194" s="31" t="s">
        <v>37</v>
      </c>
      <c r="L194" s="19" t="s">
        <v>38</v>
      </c>
      <c r="M194" s="34" t="s">
        <v>120</v>
      </c>
      <c r="N194" s="28">
        <v>174.0</v>
      </c>
      <c r="O194" s="22">
        <v>208.65</v>
      </c>
    </row>
    <row r="195" ht="15.75" customHeight="1">
      <c r="A195" s="19" t="s">
        <v>65</v>
      </c>
      <c r="B195" s="19" t="s">
        <v>66</v>
      </c>
      <c r="C195" s="19" t="s">
        <v>19</v>
      </c>
      <c r="D195" s="30">
        <v>45901.0</v>
      </c>
      <c r="E195" s="31">
        <v>3109.0</v>
      </c>
      <c r="F195" s="32">
        <v>45946.0</v>
      </c>
      <c r="G195" s="22">
        <v>26657.57</v>
      </c>
      <c r="H195" s="21" t="s">
        <v>96</v>
      </c>
      <c r="I195" s="32">
        <v>45992.0</v>
      </c>
      <c r="J195" s="19" t="s">
        <v>10</v>
      </c>
      <c r="K195" s="31" t="s">
        <v>43</v>
      </c>
      <c r="L195" s="19" t="s">
        <v>44</v>
      </c>
      <c r="M195" s="34" t="s">
        <v>111</v>
      </c>
      <c r="N195" s="28">
        <v>517.0</v>
      </c>
      <c r="O195" s="22">
        <v>51.56</v>
      </c>
    </row>
    <row r="196" ht="15.75" customHeight="1">
      <c r="A196" s="19" t="s">
        <v>65</v>
      </c>
      <c r="B196" s="19" t="s">
        <v>66</v>
      </c>
      <c r="C196" s="19" t="s">
        <v>19</v>
      </c>
      <c r="D196" s="30">
        <v>45901.0</v>
      </c>
      <c r="E196" s="31">
        <v>3110.0</v>
      </c>
      <c r="F196" s="32">
        <v>45932.0</v>
      </c>
      <c r="G196" s="22">
        <v>35680.0</v>
      </c>
      <c r="H196" s="21" t="s">
        <v>96</v>
      </c>
      <c r="I196" s="32">
        <v>45992.0</v>
      </c>
      <c r="J196" s="19" t="s">
        <v>14</v>
      </c>
      <c r="K196" s="31" t="s">
        <v>20</v>
      </c>
      <c r="L196" s="19" t="s">
        <v>21</v>
      </c>
      <c r="M196" s="34" t="s">
        <v>111</v>
      </c>
      <c r="N196" s="28">
        <v>160.0</v>
      </c>
      <c r="O196" s="22">
        <v>223.0</v>
      </c>
    </row>
    <row r="197" ht="15.75" customHeight="1">
      <c r="A197" s="19" t="s">
        <v>65</v>
      </c>
      <c r="B197" s="19" t="s">
        <v>66</v>
      </c>
      <c r="C197" s="19" t="s">
        <v>19</v>
      </c>
      <c r="D197" s="30">
        <v>45901.0</v>
      </c>
      <c r="E197" s="31">
        <v>3110.0</v>
      </c>
      <c r="F197" s="32">
        <v>45932.0</v>
      </c>
      <c r="G197" s="22">
        <v>22951.5</v>
      </c>
      <c r="H197" s="21" t="s">
        <v>96</v>
      </c>
      <c r="I197" s="32">
        <v>45992.0</v>
      </c>
      <c r="J197" s="19" t="s">
        <v>14</v>
      </c>
      <c r="K197" s="31" t="s">
        <v>22</v>
      </c>
      <c r="L197" s="19" t="s">
        <v>23</v>
      </c>
      <c r="M197" s="34" t="s">
        <v>119</v>
      </c>
      <c r="N197" s="28">
        <v>110.0</v>
      </c>
      <c r="O197" s="22">
        <v>208.65</v>
      </c>
    </row>
    <row r="198" ht="15.75" customHeight="1">
      <c r="A198" s="19" t="s">
        <v>65</v>
      </c>
      <c r="B198" s="19" t="s">
        <v>66</v>
      </c>
      <c r="C198" s="19" t="s">
        <v>19</v>
      </c>
      <c r="D198" s="30">
        <v>45901.0</v>
      </c>
      <c r="E198" s="31">
        <v>3110.0</v>
      </c>
      <c r="F198" s="32">
        <v>45932.0</v>
      </c>
      <c r="G198" s="22">
        <v>35053.2</v>
      </c>
      <c r="H198" s="21" t="s">
        <v>96</v>
      </c>
      <c r="I198" s="32">
        <v>45992.0</v>
      </c>
      <c r="J198" s="19" t="s">
        <v>14</v>
      </c>
      <c r="K198" s="31" t="s">
        <v>24</v>
      </c>
      <c r="L198" s="19" t="s">
        <v>25</v>
      </c>
      <c r="M198" s="34" t="s">
        <v>111</v>
      </c>
      <c r="N198" s="28">
        <v>168.0</v>
      </c>
      <c r="O198" s="22">
        <v>208.65</v>
      </c>
    </row>
    <row r="199" ht="15.75" customHeight="1">
      <c r="A199" s="19" t="s">
        <v>65</v>
      </c>
      <c r="B199" s="19" t="s">
        <v>66</v>
      </c>
      <c r="C199" s="19" t="s">
        <v>19</v>
      </c>
      <c r="D199" s="30">
        <v>45901.0</v>
      </c>
      <c r="E199" s="31">
        <v>3113.0</v>
      </c>
      <c r="F199" s="32">
        <v>45947.0</v>
      </c>
      <c r="G199" s="22">
        <v>33592.65</v>
      </c>
      <c r="H199" s="21" t="s">
        <v>96</v>
      </c>
      <c r="I199" s="32">
        <v>45992.0</v>
      </c>
      <c r="J199" s="19" t="s">
        <v>7</v>
      </c>
      <c r="K199" s="31" t="s">
        <v>26</v>
      </c>
      <c r="L199" s="19" t="s">
        <v>27</v>
      </c>
      <c r="M199" s="34" t="s">
        <v>111</v>
      </c>
      <c r="N199" s="28">
        <v>161.0</v>
      </c>
      <c r="O199" s="22">
        <v>208.65</v>
      </c>
    </row>
    <row r="200" ht="15.75" customHeight="1">
      <c r="A200" s="19" t="s">
        <v>65</v>
      </c>
      <c r="B200" s="19" t="s">
        <v>66</v>
      </c>
      <c r="C200" s="19" t="s">
        <v>19</v>
      </c>
      <c r="D200" s="30">
        <v>45931.0</v>
      </c>
      <c r="E200" s="31">
        <v>3155.0</v>
      </c>
      <c r="F200" s="32">
        <v>45974.0</v>
      </c>
      <c r="G200" s="22">
        <v>40230.08</v>
      </c>
      <c r="H200" s="21" t="s">
        <v>97</v>
      </c>
      <c r="I200" s="32">
        <v>46020.0</v>
      </c>
      <c r="J200" s="19" t="s">
        <v>14</v>
      </c>
      <c r="K200" s="31" t="s">
        <v>20</v>
      </c>
      <c r="L200" s="19" t="s">
        <v>21</v>
      </c>
      <c r="M200" s="34" t="s">
        <v>111</v>
      </c>
      <c r="N200" s="28">
        <v>176.0</v>
      </c>
      <c r="O200" s="22">
        <v>223.0</v>
      </c>
    </row>
    <row r="201" ht="15.75" customHeight="1">
      <c r="A201" s="19" t="s">
        <v>65</v>
      </c>
      <c r="B201" s="19" t="s">
        <v>66</v>
      </c>
      <c r="C201" s="19" t="s">
        <v>19</v>
      </c>
      <c r="D201" s="30">
        <v>45931.0</v>
      </c>
      <c r="E201" s="31">
        <v>3155.0</v>
      </c>
      <c r="F201" s="32">
        <v>45974.0</v>
      </c>
      <c r="G201" s="22">
        <v>35472.8</v>
      </c>
      <c r="H201" s="21" t="s">
        <v>97</v>
      </c>
      <c r="I201" s="32">
        <v>46020.0</v>
      </c>
      <c r="J201" s="19" t="s">
        <v>14</v>
      </c>
      <c r="K201" s="31" t="s">
        <v>141</v>
      </c>
      <c r="L201" s="19" t="s">
        <v>142</v>
      </c>
      <c r="M201" s="34" t="s">
        <v>143</v>
      </c>
      <c r="N201" s="28">
        <v>176.0</v>
      </c>
      <c r="O201" s="22">
        <v>201.4</v>
      </c>
    </row>
    <row r="202" ht="15.75" customHeight="1">
      <c r="A202" s="19" t="s">
        <v>65</v>
      </c>
      <c r="B202" s="19" t="s">
        <v>66</v>
      </c>
      <c r="C202" s="19" t="s">
        <v>19</v>
      </c>
      <c r="D202" s="30">
        <v>45931.0</v>
      </c>
      <c r="E202" s="31">
        <v>3155.0</v>
      </c>
      <c r="F202" s="32">
        <v>45974.0</v>
      </c>
      <c r="G202" s="22">
        <v>37641.12</v>
      </c>
      <c r="H202" s="21" t="s">
        <v>97</v>
      </c>
      <c r="I202" s="32">
        <v>46020.0</v>
      </c>
      <c r="J202" s="19" t="s">
        <v>14</v>
      </c>
      <c r="K202" s="31" t="s">
        <v>22</v>
      </c>
      <c r="L202" s="19" t="s">
        <v>23</v>
      </c>
      <c r="M202" s="34" t="s">
        <v>119</v>
      </c>
      <c r="N202" s="28">
        <v>176.0</v>
      </c>
      <c r="O202" s="22">
        <v>208.65</v>
      </c>
    </row>
    <row r="203" ht="15.75" customHeight="1">
      <c r="A203" s="19" t="s">
        <v>65</v>
      </c>
      <c r="B203" s="19" t="s">
        <v>66</v>
      </c>
      <c r="C203" s="19" t="s">
        <v>19</v>
      </c>
      <c r="D203" s="30">
        <v>45931.0</v>
      </c>
      <c r="E203" s="31">
        <v>3155.0</v>
      </c>
      <c r="F203" s="32">
        <v>45974.0</v>
      </c>
      <c r="G203" s="22">
        <v>35930.16</v>
      </c>
      <c r="H203" s="21" t="s">
        <v>97</v>
      </c>
      <c r="I203" s="32">
        <v>46020.0</v>
      </c>
      <c r="J203" s="19" t="s">
        <v>14</v>
      </c>
      <c r="K203" s="31" t="s">
        <v>24</v>
      </c>
      <c r="L203" s="19" t="s">
        <v>25</v>
      </c>
      <c r="M203" s="34" t="s">
        <v>111</v>
      </c>
      <c r="N203" s="28">
        <v>168.0</v>
      </c>
      <c r="O203" s="22">
        <v>208.65</v>
      </c>
    </row>
    <row r="204" ht="15.75" customHeight="1">
      <c r="A204" s="19" t="s">
        <v>65</v>
      </c>
      <c r="B204" s="19" t="s">
        <v>66</v>
      </c>
      <c r="C204" s="19" t="s">
        <v>19</v>
      </c>
      <c r="D204" s="30">
        <v>45931.0</v>
      </c>
      <c r="E204" s="31">
        <v>3156.0</v>
      </c>
      <c r="F204" s="32">
        <v>45974.0</v>
      </c>
      <c r="G204" s="22">
        <v>38817.41</v>
      </c>
      <c r="H204" s="21" t="s">
        <v>97</v>
      </c>
      <c r="I204" s="32">
        <v>46020.0</v>
      </c>
      <c r="J204" s="19" t="s">
        <v>10</v>
      </c>
      <c r="K204" s="31" t="s">
        <v>39</v>
      </c>
      <c r="L204" s="19" t="s">
        <v>40</v>
      </c>
      <c r="M204" s="34" t="s">
        <v>111</v>
      </c>
      <c r="N204" s="28">
        <v>181.5</v>
      </c>
      <c r="O204" s="22">
        <v>213.87</v>
      </c>
    </row>
    <row r="205" ht="15.75" customHeight="1">
      <c r="A205" s="19" t="s">
        <v>65</v>
      </c>
      <c r="B205" s="19" t="s">
        <v>66</v>
      </c>
      <c r="C205" s="19" t="s">
        <v>19</v>
      </c>
      <c r="D205" s="30">
        <v>45931.0</v>
      </c>
      <c r="E205" s="31">
        <v>3156.0</v>
      </c>
      <c r="F205" s="32">
        <v>45974.0</v>
      </c>
      <c r="G205" s="22">
        <v>18370.56</v>
      </c>
      <c r="H205" s="21" t="s">
        <v>97</v>
      </c>
      <c r="I205" s="32">
        <v>46020.0</v>
      </c>
      <c r="J205" s="19" t="s">
        <v>10</v>
      </c>
      <c r="K205" s="31" t="s">
        <v>41</v>
      </c>
      <c r="L205" s="19" t="s">
        <v>42</v>
      </c>
      <c r="M205" s="34" t="s">
        <v>133</v>
      </c>
      <c r="N205" s="28">
        <v>96.0</v>
      </c>
      <c r="O205" s="22">
        <v>191.36</v>
      </c>
    </row>
    <row r="206" ht="15.75" customHeight="1">
      <c r="A206" s="19" t="s">
        <v>65</v>
      </c>
      <c r="B206" s="19" t="s">
        <v>66</v>
      </c>
      <c r="C206" s="19" t="s">
        <v>19</v>
      </c>
      <c r="D206" s="30">
        <v>45931.0</v>
      </c>
      <c r="E206" s="31">
        <v>3156.0</v>
      </c>
      <c r="F206" s="32">
        <v>45974.0</v>
      </c>
      <c r="G206" s="22">
        <v>38068.86</v>
      </c>
      <c r="H206" s="21" t="s">
        <v>97</v>
      </c>
      <c r="I206" s="32">
        <v>46020.0</v>
      </c>
      <c r="J206" s="19" t="s">
        <v>10</v>
      </c>
      <c r="K206" s="31" t="s">
        <v>37</v>
      </c>
      <c r="L206" s="19" t="s">
        <v>38</v>
      </c>
      <c r="M206" s="34" t="s">
        <v>120</v>
      </c>
      <c r="N206" s="28">
        <v>178.0</v>
      </c>
      <c r="O206" s="22">
        <v>213.87</v>
      </c>
    </row>
    <row r="207" ht="15.75" customHeight="1">
      <c r="A207" s="19" t="s">
        <v>65</v>
      </c>
      <c r="B207" s="19" t="s">
        <v>66</v>
      </c>
      <c r="C207" s="19" t="s">
        <v>19</v>
      </c>
      <c r="D207" s="30">
        <v>45931.0</v>
      </c>
      <c r="E207" s="31">
        <v>3156.0</v>
      </c>
      <c r="F207" s="32">
        <v>45974.0</v>
      </c>
      <c r="G207" s="22">
        <v>28744.13</v>
      </c>
      <c r="H207" s="21" t="s">
        <v>97</v>
      </c>
      <c r="I207" s="32">
        <v>46020.0</v>
      </c>
      <c r="J207" s="19" t="s">
        <v>10</v>
      </c>
      <c r="K207" s="31" t="s">
        <v>43</v>
      </c>
      <c r="L207" s="19" t="s">
        <v>44</v>
      </c>
      <c r="M207" s="34" t="s">
        <v>111</v>
      </c>
      <c r="N207" s="28">
        <v>0.0</v>
      </c>
      <c r="O207" s="22">
        <v>0.0</v>
      </c>
    </row>
    <row r="208" ht="15.75" customHeight="1">
      <c r="A208" s="19" t="s">
        <v>65</v>
      </c>
      <c r="B208" s="19" t="s">
        <v>66</v>
      </c>
      <c r="C208" s="19" t="s">
        <v>19</v>
      </c>
      <c r="D208" s="30">
        <v>45931.0</v>
      </c>
      <c r="E208" s="31">
        <v>3158.0</v>
      </c>
      <c r="F208" s="32">
        <v>45974.0</v>
      </c>
      <c r="G208" s="22">
        <v>37641.12</v>
      </c>
      <c r="H208" s="21" t="s">
        <v>97</v>
      </c>
      <c r="I208" s="32">
        <v>46020.0</v>
      </c>
      <c r="J208" s="19" t="s">
        <v>7</v>
      </c>
      <c r="K208" s="31" t="s">
        <v>26</v>
      </c>
      <c r="L208" s="19" t="s">
        <v>27</v>
      </c>
      <c r="M208" s="34" t="s">
        <v>111</v>
      </c>
      <c r="N208" s="28">
        <v>176.0</v>
      </c>
      <c r="O208" s="22">
        <v>213.87</v>
      </c>
    </row>
    <row r="209" ht="15.75" customHeight="1">
      <c r="A209" s="19" t="s">
        <v>53</v>
      </c>
      <c r="B209" s="19" t="s">
        <v>54</v>
      </c>
      <c r="C209" s="19" t="s">
        <v>55</v>
      </c>
      <c r="D209" s="30">
        <v>45931.0</v>
      </c>
      <c r="E209" s="31">
        <v>25304.0</v>
      </c>
      <c r="F209" s="32">
        <v>45972.0</v>
      </c>
      <c r="G209" s="22">
        <v>27921.65</v>
      </c>
      <c r="H209" s="21" t="s">
        <v>97</v>
      </c>
      <c r="I209" s="32">
        <v>46034.0</v>
      </c>
      <c r="J209" s="19" t="s">
        <v>7</v>
      </c>
      <c r="K209" s="33" t="s">
        <v>151</v>
      </c>
      <c r="L209" s="19" t="s">
        <v>152</v>
      </c>
      <c r="M209" s="33" t="s">
        <v>150</v>
      </c>
      <c r="N209" s="28">
        <v>153.18</v>
      </c>
      <c r="O209" s="22">
        <v>186.0</v>
      </c>
    </row>
    <row r="210" ht="15.0" customHeight="1">
      <c r="A210" s="19" t="s">
        <v>56</v>
      </c>
      <c r="B210" s="19" t="s">
        <v>57</v>
      </c>
      <c r="C210" s="19" t="s">
        <v>58</v>
      </c>
      <c r="D210" s="30">
        <v>45931.0</v>
      </c>
      <c r="E210" s="31">
        <v>43904.0</v>
      </c>
      <c r="F210" s="32">
        <v>45967.0</v>
      </c>
      <c r="G210" s="22">
        <v>32334.72</v>
      </c>
      <c r="H210" s="21" t="s">
        <v>97</v>
      </c>
      <c r="I210" s="32">
        <v>45997.0</v>
      </c>
      <c r="J210" s="19" t="s">
        <v>7</v>
      </c>
      <c r="K210" s="31" t="s">
        <v>154</v>
      </c>
      <c r="L210" s="19" t="s">
        <v>155</v>
      </c>
      <c r="M210" s="34" t="s">
        <v>156</v>
      </c>
      <c r="N210" s="28">
        <v>204.75</v>
      </c>
      <c r="O210" s="22">
        <v>184.6</v>
      </c>
    </row>
    <row r="211" ht="15.75" customHeight="1">
      <c r="A211" s="19" t="s">
        <v>59</v>
      </c>
      <c r="B211" s="19" t="s">
        <v>60</v>
      </c>
      <c r="C211" s="19" t="s">
        <v>61</v>
      </c>
      <c r="D211" s="30">
        <v>45931.0</v>
      </c>
      <c r="E211" s="31">
        <v>15795.0</v>
      </c>
      <c r="F211" s="32">
        <v>45966.0</v>
      </c>
      <c r="G211" s="22">
        <v>35190.96</v>
      </c>
      <c r="H211" s="21" t="s">
        <v>97</v>
      </c>
      <c r="I211" s="32"/>
      <c r="J211" s="19" t="s">
        <v>14</v>
      </c>
      <c r="K211" s="31" t="s">
        <v>148</v>
      </c>
      <c r="L211" s="19" t="s">
        <v>149</v>
      </c>
      <c r="M211" s="34" t="s">
        <v>150</v>
      </c>
      <c r="N211" s="28">
        <v>182.45</v>
      </c>
      <c r="O211" s="22">
        <v>192.88</v>
      </c>
    </row>
    <row r="212" ht="15.75" customHeight="1">
      <c r="A212" s="19" t="s">
        <v>59</v>
      </c>
      <c r="B212" s="19" t="s">
        <v>60</v>
      </c>
      <c r="C212" s="19" t="s">
        <v>61</v>
      </c>
      <c r="D212" s="30">
        <v>45962.0</v>
      </c>
      <c r="E212" s="31">
        <v>15895.0</v>
      </c>
      <c r="F212" s="32">
        <v>45993.0</v>
      </c>
      <c r="G212" s="22">
        <v>35846.75</v>
      </c>
      <c r="H212" s="21" t="s">
        <v>97</v>
      </c>
      <c r="I212" s="32">
        <v>46023.0</v>
      </c>
      <c r="J212" s="19" t="s">
        <v>14</v>
      </c>
      <c r="K212" s="31" t="s">
        <v>148</v>
      </c>
      <c r="L212" s="19" t="s">
        <v>149</v>
      </c>
      <c r="M212" s="34" t="s">
        <v>150</v>
      </c>
      <c r="N212" s="28">
        <v>185.85</v>
      </c>
      <c r="O212" s="22">
        <v>192.88</v>
      </c>
    </row>
    <row r="213" ht="15.75" customHeight="1">
      <c r="A213" s="19" t="s">
        <v>65</v>
      </c>
      <c r="B213" s="19" t="s">
        <v>66</v>
      </c>
      <c r="C213" s="19" t="s">
        <v>19</v>
      </c>
      <c r="D213" s="30">
        <v>45962.0</v>
      </c>
      <c r="E213" s="31">
        <v>3227.0</v>
      </c>
      <c r="F213" s="32">
        <v>46027.0</v>
      </c>
      <c r="G213" s="22">
        <v>15077.84</v>
      </c>
      <c r="H213" s="21" t="s">
        <v>97</v>
      </c>
      <c r="I213" s="32">
        <v>46073.0</v>
      </c>
      <c r="J213" s="19" t="s">
        <v>10</v>
      </c>
      <c r="K213" s="31" t="s">
        <v>39</v>
      </c>
      <c r="L213" s="19" t="s">
        <v>40</v>
      </c>
      <c r="M213" s="34" t="s">
        <v>111</v>
      </c>
      <c r="N213" s="28">
        <v>181.5</v>
      </c>
      <c r="O213" s="22">
        <v>213.87</v>
      </c>
    </row>
    <row r="214" ht="15.75" customHeight="1">
      <c r="A214" s="19" t="s">
        <v>65</v>
      </c>
      <c r="B214" s="19" t="s">
        <v>66</v>
      </c>
      <c r="C214" s="19" t="s">
        <v>19</v>
      </c>
      <c r="D214" s="30">
        <v>45962.0</v>
      </c>
      <c r="E214" s="31">
        <v>3227.0</v>
      </c>
      <c r="F214" s="32">
        <v>46027.0</v>
      </c>
      <c r="G214" s="22">
        <v>34636.16</v>
      </c>
      <c r="H214" s="21" t="s">
        <v>97</v>
      </c>
      <c r="I214" s="32">
        <v>46073.0</v>
      </c>
      <c r="J214" s="19" t="s">
        <v>10</v>
      </c>
      <c r="K214" s="31" t="s">
        <v>41</v>
      </c>
      <c r="L214" s="19" t="s">
        <v>42</v>
      </c>
      <c r="M214" s="34" t="s">
        <v>133</v>
      </c>
      <c r="N214" s="28">
        <v>96.0</v>
      </c>
      <c r="O214" s="22">
        <v>191.36</v>
      </c>
    </row>
    <row r="215" ht="15.75" customHeight="1">
      <c r="A215" s="19" t="s">
        <v>65</v>
      </c>
      <c r="B215" s="19" t="s">
        <v>66</v>
      </c>
      <c r="C215" s="19" t="s">
        <v>19</v>
      </c>
      <c r="D215" s="30">
        <v>45962.0</v>
      </c>
      <c r="E215" s="31">
        <v>3227.0</v>
      </c>
      <c r="F215" s="32">
        <v>46027.0</v>
      </c>
      <c r="G215" s="22">
        <v>40207.56</v>
      </c>
      <c r="H215" s="21" t="s">
        <v>97</v>
      </c>
      <c r="I215" s="32">
        <v>46073.0</v>
      </c>
      <c r="J215" s="19" t="s">
        <v>10</v>
      </c>
      <c r="K215" s="31" t="s">
        <v>37</v>
      </c>
      <c r="L215" s="19" t="s">
        <v>38</v>
      </c>
      <c r="M215" s="34" t="s">
        <v>120</v>
      </c>
      <c r="N215" s="28">
        <v>178.0</v>
      </c>
      <c r="O215" s="22">
        <v>213.87</v>
      </c>
    </row>
    <row r="216" ht="15.75" customHeight="1">
      <c r="A216" s="19" t="s">
        <v>65</v>
      </c>
      <c r="B216" s="19" t="s">
        <v>66</v>
      </c>
      <c r="C216" s="19" t="s">
        <v>19</v>
      </c>
      <c r="D216" s="30">
        <v>45962.0</v>
      </c>
      <c r="E216" s="31">
        <v>3227.0</v>
      </c>
      <c r="F216" s="32">
        <v>46027.0</v>
      </c>
      <c r="G216" s="22">
        <v>28744.13</v>
      </c>
      <c r="H216" s="21" t="s">
        <v>97</v>
      </c>
      <c r="I216" s="32">
        <v>46073.0</v>
      </c>
      <c r="J216" s="19" t="s">
        <v>10</v>
      </c>
      <c r="K216" s="31" t="s">
        <v>43</v>
      </c>
      <c r="L216" s="19" t="s">
        <v>44</v>
      </c>
      <c r="M216" s="34" t="s">
        <v>111</v>
      </c>
      <c r="N216" s="28">
        <v>0.0</v>
      </c>
      <c r="O216" s="22">
        <v>0.0</v>
      </c>
    </row>
    <row r="217" ht="15.75" customHeight="1">
      <c r="A217" s="19" t="s">
        <v>65</v>
      </c>
      <c r="B217" s="19" t="s">
        <v>66</v>
      </c>
      <c r="C217" s="19" t="s">
        <v>19</v>
      </c>
      <c r="D217" s="30">
        <v>45992.0</v>
      </c>
      <c r="E217" s="31">
        <v>3238.0</v>
      </c>
      <c r="F217" s="32">
        <v>46028.0</v>
      </c>
      <c r="G217" s="22">
        <v>34540.01</v>
      </c>
      <c r="H217" s="21" t="s">
        <v>99</v>
      </c>
      <c r="I217" s="32">
        <v>46074.0</v>
      </c>
      <c r="J217" s="19" t="s">
        <v>10</v>
      </c>
      <c r="K217" s="31" t="s">
        <v>39</v>
      </c>
      <c r="L217" s="19" t="s">
        <v>40</v>
      </c>
      <c r="M217" s="34" t="s">
        <v>111</v>
      </c>
      <c r="N217" s="28">
        <v>161.5</v>
      </c>
      <c r="O217" s="22">
        <v>213.87</v>
      </c>
    </row>
    <row r="218" ht="15.75" customHeight="1">
      <c r="A218" s="19" t="s">
        <v>65</v>
      </c>
      <c r="B218" s="19" t="s">
        <v>66</v>
      </c>
      <c r="C218" s="19" t="s">
        <v>19</v>
      </c>
      <c r="D218" s="30">
        <v>45992.0</v>
      </c>
      <c r="E218" s="31">
        <v>3238.0</v>
      </c>
      <c r="F218" s="32">
        <v>46028.0</v>
      </c>
      <c r="G218" s="22">
        <v>23920.0</v>
      </c>
      <c r="H218" s="21" t="s">
        <v>99</v>
      </c>
      <c r="I218" s="32">
        <v>46074.0</v>
      </c>
      <c r="J218" s="19" t="s">
        <v>10</v>
      </c>
      <c r="K218" s="31" t="s">
        <v>41</v>
      </c>
      <c r="L218" s="19" t="s">
        <v>42</v>
      </c>
      <c r="M218" s="34" t="s">
        <v>133</v>
      </c>
      <c r="N218" s="28">
        <v>125.0</v>
      </c>
      <c r="O218" s="22">
        <v>191.36</v>
      </c>
    </row>
    <row r="219" ht="15.75" customHeight="1">
      <c r="A219" s="19" t="s">
        <v>65</v>
      </c>
      <c r="B219" s="19" t="s">
        <v>66</v>
      </c>
      <c r="C219" s="19" t="s">
        <v>19</v>
      </c>
      <c r="D219" s="30">
        <v>45992.0</v>
      </c>
      <c r="E219" s="31">
        <v>3238.0</v>
      </c>
      <c r="F219" s="32">
        <v>46028.0</v>
      </c>
      <c r="G219" s="22">
        <v>35930.16</v>
      </c>
      <c r="H219" s="21" t="s">
        <v>99</v>
      </c>
      <c r="I219" s="32">
        <v>46074.0</v>
      </c>
      <c r="J219" s="19" t="s">
        <v>10</v>
      </c>
      <c r="K219" s="31" t="s">
        <v>37</v>
      </c>
      <c r="L219" s="19" t="s">
        <v>38</v>
      </c>
      <c r="M219" s="34" t="s">
        <v>120</v>
      </c>
      <c r="N219" s="28">
        <v>168.0</v>
      </c>
      <c r="O219" s="22">
        <v>213.87</v>
      </c>
    </row>
    <row r="220" ht="15.75" customHeight="1">
      <c r="A220" s="19" t="s">
        <v>65</v>
      </c>
      <c r="B220" s="19" t="s">
        <v>66</v>
      </c>
      <c r="C220" s="19" t="s">
        <v>19</v>
      </c>
      <c r="D220" s="30">
        <v>45992.0</v>
      </c>
      <c r="E220" s="31">
        <v>3238.0</v>
      </c>
      <c r="F220" s="32">
        <v>46028.0</v>
      </c>
      <c r="G220" s="22">
        <v>28744.13</v>
      </c>
      <c r="H220" s="21" t="s">
        <v>99</v>
      </c>
      <c r="I220" s="32">
        <v>46074.0</v>
      </c>
      <c r="J220" s="19" t="s">
        <v>10</v>
      </c>
      <c r="K220" s="31" t="s">
        <v>43</v>
      </c>
      <c r="L220" s="19" t="s">
        <v>44</v>
      </c>
      <c r="M220" s="34" t="s">
        <v>111</v>
      </c>
      <c r="N220" s="28">
        <v>0.0</v>
      </c>
      <c r="O220" s="22">
        <v>0.0</v>
      </c>
    </row>
    <row r="221" ht="15.75" customHeight="1">
      <c r="A221" s="19" t="s">
        <v>65</v>
      </c>
      <c r="B221" s="19" t="s">
        <v>66</v>
      </c>
      <c r="C221" s="19" t="s">
        <v>19</v>
      </c>
      <c r="D221" s="30">
        <v>45992.0</v>
      </c>
      <c r="E221" s="31">
        <v>3239.0</v>
      </c>
      <c r="F221" s="32">
        <v>46029.0</v>
      </c>
      <c r="G221" s="22">
        <v>9143.2</v>
      </c>
      <c r="H221" s="21" t="s">
        <v>99</v>
      </c>
      <c r="I221" s="32">
        <v>46075.0</v>
      </c>
      <c r="J221" s="19" t="s">
        <v>14</v>
      </c>
      <c r="K221" s="31" t="s">
        <v>20</v>
      </c>
      <c r="L221" s="19" t="s">
        <v>21</v>
      </c>
      <c r="M221" s="34" t="s">
        <v>111</v>
      </c>
      <c r="N221" s="28">
        <v>40.0</v>
      </c>
      <c r="O221" s="22">
        <v>228.58</v>
      </c>
    </row>
    <row r="222" ht="15.75" customHeight="1">
      <c r="A222" s="19" t="s">
        <v>65</v>
      </c>
      <c r="B222" s="19" t="s">
        <v>66</v>
      </c>
      <c r="C222" s="19" t="s">
        <v>19</v>
      </c>
      <c r="D222" s="30">
        <v>45992.0</v>
      </c>
      <c r="E222" s="31">
        <v>3239.0</v>
      </c>
      <c r="F222" s="32">
        <v>46029.0</v>
      </c>
      <c r="G222" s="22">
        <v>32248.0</v>
      </c>
      <c r="H222" s="21" t="s">
        <v>99</v>
      </c>
      <c r="I222" s="32">
        <v>46075.0</v>
      </c>
      <c r="J222" s="19" t="s">
        <v>14</v>
      </c>
      <c r="K222" s="31" t="s">
        <v>141</v>
      </c>
      <c r="L222" s="19" t="s">
        <v>142</v>
      </c>
      <c r="M222" s="34" t="s">
        <v>143</v>
      </c>
      <c r="N222" s="28">
        <v>160.0</v>
      </c>
      <c r="O222" s="22">
        <v>201.55</v>
      </c>
    </row>
    <row r="223" ht="15.75" customHeight="1">
      <c r="A223" s="19" t="s">
        <v>65</v>
      </c>
      <c r="B223" s="19" t="s">
        <v>66</v>
      </c>
      <c r="C223" s="19" t="s">
        <v>19</v>
      </c>
      <c r="D223" s="30">
        <v>45992.0</v>
      </c>
      <c r="E223" s="31">
        <v>3239.0</v>
      </c>
      <c r="F223" s="32">
        <v>46029.0</v>
      </c>
      <c r="G223" s="22">
        <v>32508.24</v>
      </c>
      <c r="H223" s="21" t="s">
        <v>99</v>
      </c>
      <c r="I223" s="32">
        <v>46075.0</v>
      </c>
      <c r="J223" s="19" t="s">
        <v>14</v>
      </c>
      <c r="K223" s="31" t="s">
        <v>22</v>
      </c>
      <c r="L223" s="19" t="s">
        <v>23</v>
      </c>
      <c r="M223" s="34" t="s">
        <v>119</v>
      </c>
      <c r="N223" s="28">
        <v>152.0</v>
      </c>
      <c r="O223" s="22">
        <v>213.87</v>
      </c>
    </row>
    <row r="224" ht="15.75" customHeight="1">
      <c r="A224" s="19" t="s">
        <v>65</v>
      </c>
      <c r="B224" s="19" t="s">
        <v>66</v>
      </c>
      <c r="C224" s="19" t="s">
        <v>19</v>
      </c>
      <c r="D224" s="30">
        <v>45992.0</v>
      </c>
      <c r="E224" s="31">
        <v>3239.0</v>
      </c>
      <c r="F224" s="32">
        <v>46029.0</v>
      </c>
      <c r="G224" s="22">
        <v>34219.2</v>
      </c>
      <c r="H224" s="21" t="s">
        <v>99</v>
      </c>
      <c r="I224" s="32">
        <v>46075.0</v>
      </c>
      <c r="J224" s="19" t="s">
        <v>14</v>
      </c>
      <c r="K224" s="31" t="s">
        <v>24</v>
      </c>
      <c r="L224" s="19" t="s">
        <v>25</v>
      </c>
      <c r="M224" s="34" t="s">
        <v>111</v>
      </c>
      <c r="N224" s="28">
        <v>160.0</v>
      </c>
      <c r="O224" s="22">
        <v>213.87</v>
      </c>
    </row>
    <row r="225" ht="15.75" customHeight="1">
      <c r="A225" s="19" t="s">
        <v>65</v>
      </c>
      <c r="B225" s="19" t="s">
        <v>66</v>
      </c>
      <c r="C225" s="19" t="s">
        <v>19</v>
      </c>
      <c r="D225" s="30">
        <v>45992.0</v>
      </c>
      <c r="E225" s="31">
        <v>3251.0</v>
      </c>
      <c r="F225" s="32">
        <v>46048.0</v>
      </c>
      <c r="G225" s="22">
        <v>25664.4</v>
      </c>
      <c r="H225" s="21" t="s">
        <v>99</v>
      </c>
      <c r="I225" s="32">
        <v>46094.0</v>
      </c>
      <c r="J225" s="19" t="s">
        <v>7</v>
      </c>
      <c r="K225" s="31" t="s">
        <v>26</v>
      </c>
      <c r="L225" s="19" t="s">
        <v>27</v>
      </c>
      <c r="M225" s="34" t="s">
        <v>111</v>
      </c>
      <c r="N225" s="28">
        <v>120.0</v>
      </c>
      <c r="O225" s="22">
        <v>213.87</v>
      </c>
    </row>
    <row r="226" ht="15.75" customHeight="1">
      <c r="A226" s="19" t="s">
        <v>65</v>
      </c>
      <c r="B226" s="19" t="s">
        <v>66</v>
      </c>
      <c r="C226" s="19" t="s">
        <v>19</v>
      </c>
      <c r="D226" s="30">
        <v>45962.0</v>
      </c>
      <c r="E226" s="31">
        <v>3252.0</v>
      </c>
      <c r="F226" s="32">
        <v>46048.0</v>
      </c>
      <c r="G226" s="22">
        <v>18820.56</v>
      </c>
      <c r="H226" s="21" t="s">
        <v>97</v>
      </c>
      <c r="I226" s="32">
        <v>46094.0</v>
      </c>
      <c r="J226" s="19" t="s">
        <v>7</v>
      </c>
      <c r="K226" s="31" t="s">
        <v>26</v>
      </c>
      <c r="L226" s="19" t="s">
        <v>27</v>
      </c>
      <c r="M226" s="34" t="s">
        <v>111</v>
      </c>
      <c r="N226" s="28">
        <v>176.0</v>
      </c>
      <c r="O226" s="22">
        <v>213.87</v>
      </c>
    </row>
    <row r="227" ht="15.75" customHeight="1">
      <c r="A227" s="19" t="s">
        <v>65</v>
      </c>
      <c r="B227" s="19" t="s">
        <v>66</v>
      </c>
      <c r="C227" s="19" t="s">
        <v>19</v>
      </c>
      <c r="D227" s="30">
        <v>45962.0</v>
      </c>
      <c r="E227" s="31">
        <v>3225.0</v>
      </c>
      <c r="F227" s="32">
        <v>46027.0</v>
      </c>
      <c r="G227" s="22">
        <v>40230.08</v>
      </c>
      <c r="H227" s="21" t="s">
        <v>97</v>
      </c>
      <c r="I227" s="32">
        <v>46073.0</v>
      </c>
      <c r="J227" s="19" t="s">
        <v>14</v>
      </c>
      <c r="K227" s="31" t="s">
        <v>20</v>
      </c>
      <c r="L227" s="19" t="s">
        <v>21</v>
      </c>
      <c r="M227" s="34" t="s">
        <v>111</v>
      </c>
      <c r="N227" s="28">
        <v>176.0</v>
      </c>
      <c r="O227" s="22">
        <v>228.58</v>
      </c>
    </row>
    <row r="228" ht="15.75" customHeight="1">
      <c r="A228" s="19" t="s">
        <v>65</v>
      </c>
      <c r="B228" s="19" t="s">
        <v>66</v>
      </c>
      <c r="C228" s="19" t="s">
        <v>19</v>
      </c>
      <c r="D228" s="30">
        <v>45962.0</v>
      </c>
      <c r="E228" s="31">
        <v>3225.0</v>
      </c>
      <c r="F228" s="32">
        <v>46027.0</v>
      </c>
      <c r="G228" s="22">
        <v>38496.05</v>
      </c>
      <c r="H228" s="21" t="s">
        <v>97</v>
      </c>
      <c r="I228" s="32">
        <v>46073.0</v>
      </c>
      <c r="J228" s="19" t="s">
        <v>14</v>
      </c>
      <c r="K228" s="31" t="s">
        <v>141</v>
      </c>
      <c r="L228" s="19" t="s">
        <v>142</v>
      </c>
      <c r="M228" s="34" t="s">
        <v>143</v>
      </c>
      <c r="N228" s="28">
        <v>191.0</v>
      </c>
      <c r="O228" s="22">
        <v>201.55</v>
      </c>
    </row>
    <row r="229" ht="15.75" customHeight="1">
      <c r="A229" s="19" t="s">
        <v>65</v>
      </c>
      <c r="B229" s="19" t="s">
        <v>66</v>
      </c>
      <c r="C229" s="19" t="s">
        <v>19</v>
      </c>
      <c r="D229" s="30">
        <v>45962.0</v>
      </c>
      <c r="E229" s="31">
        <v>3225.0</v>
      </c>
      <c r="F229" s="32">
        <v>46027.0</v>
      </c>
      <c r="G229" s="22">
        <v>37641.12</v>
      </c>
      <c r="H229" s="21" t="s">
        <v>97</v>
      </c>
      <c r="I229" s="32">
        <v>46073.0</v>
      </c>
      <c r="J229" s="19" t="s">
        <v>14</v>
      </c>
      <c r="K229" s="31" t="s">
        <v>22</v>
      </c>
      <c r="L229" s="19" t="s">
        <v>23</v>
      </c>
      <c r="M229" s="34" t="s">
        <v>119</v>
      </c>
      <c r="N229" s="28">
        <v>176.0</v>
      </c>
      <c r="O229" s="22">
        <v>213.87</v>
      </c>
    </row>
    <row r="230" ht="15.75" customHeight="1">
      <c r="A230" s="19" t="s">
        <v>65</v>
      </c>
      <c r="B230" s="19" t="s">
        <v>66</v>
      </c>
      <c r="C230" s="19" t="s">
        <v>19</v>
      </c>
      <c r="D230" s="30">
        <v>45962.0</v>
      </c>
      <c r="E230" s="31">
        <v>3225.0</v>
      </c>
      <c r="F230" s="32">
        <v>46027.0</v>
      </c>
      <c r="G230" s="22">
        <v>24167.31</v>
      </c>
      <c r="H230" s="21" t="s">
        <v>97</v>
      </c>
      <c r="I230" s="32">
        <v>46073.0</v>
      </c>
      <c r="J230" s="19" t="s">
        <v>14</v>
      </c>
      <c r="K230" s="31" t="s">
        <v>24</v>
      </c>
      <c r="L230" s="19" t="s">
        <v>25</v>
      </c>
      <c r="M230" s="34" t="s">
        <v>111</v>
      </c>
      <c r="N230" s="28">
        <v>113.0</v>
      </c>
      <c r="O230" s="22">
        <v>213.87</v>
      </c>
    </row>
    <row r="231" ht="15.75" customHeight="1">
      <c r="A231" s="19" t="s">
        <v>51</v>
      </c>
      <c r="B231" s="19" t="s">
        <v>52</v>
      </c>
      <c r="C231" s="19" t="s">
        <v>28</v>
      </c>
      <c r="D231" s="30">
        <v>45931.0</v>
      </c>
      <c r="E231" s="31">
        <v>155319.0</v>
      </c>
      <c r="F231" s="32">
        <v>46036.0</v>
      </c>
      <c r="G231" s="22">
        <v>49864.32</v>
      </c>
      <c r="H231" s="21" t="s">
        <v>97</v>
      </c>
      <c r="I231" s="32">
        <v>46096.0</v>
      </c>
      <c r="J231" s="19" t="s">
        <v>7</v>
      </c>
      <c r="K231" s="31" t="s">
        <v>29</v>
      </c>
      <c r="L231" s="19" t="s">
        <v>30</v>
      </c>
      <c r="M231" s="34" t="s">
        <v>144</v>
      </c>
      <c r="N231" s="28">
        <v>176.0</v>
      </c>
      <c r="O231" s="22">
        <v>283.32</v>
      </c>
    </row>
    <row r="232" ht="15.75" customHeight="1">
      <c r="A232" s="19" t="s">
        <v>51</v>
      </c>
      <c r="B232" s="19" t="s">
        <v>52</v>
      </c>
      <c r="C232" s="19" t="s">
        <v>28</v>
      </c>
      <c r="D232" s="30">
        <v>45931.0</v>
      </c>
      <c r="E232" s="31">
        <v>155318.0</v>
      </c>
      <c r="F232" s="32">
        <v>46036.0</v>
      </c>
      <c r="G232" s="22">
        <v>50034.31</v>
      </c>
      <c r="H232" s="21" t="s">
        <v>97</v>
      </c>
      <c r="I232" s="32">
        <v>46096.0</v>
      </c>
      <c r="J232" s="19" t="s">
        <v>14</v>
      </c>
      <c r="K232" s="31" t="s">
        <v>122</v>
      </c>
      <c r="L232" s="19" t="s">
        <v>123</v>
      </c>
      <c r="M232" s="34" t="s">
        <v>114</v>
      </c>
      <c r="N232" s="28">
        <v>176.0</v>
      </c>
      <c r="O232" s="22">
        <v>283.32</v>
      </c>
    </row>
    <row r="233" ht="15.75" customHeight="1">
      <c r="A233" s="19" t="s">
        <v>51</v>
      </c>
      <c r="B233" s="19" t="s">
        <v>52</v>
      </c>
      <c r="C233" s="19" t="s">
        <v>28</v>
      </c>
      <c r="D233" s="30">
        <v>45931.0</v>
      </c>
      <c r="E233" s="31">
        <v>155318.0</v>
      </c>
      <c r="F233" s="32">
        <v>46036.0</v>
      </c>
      <c r="G233" s="22">
        <v>45460.58</v>
      </c>
      <c r="H233" s="21" t="s">
        <v>97</v>
      </c>
      <c r="I233" s="32">
        <v>46096.0</v>
      </c>
      <c r="J233" s="19" t="s">
        <v>14</v>
      </c>
      <c r="K233" s="31" t="s">
        <v>129</v>
      </c>
      <c r="L233" s="19" t="s">
        <v>130</v>
      </c>
      <c r="M233" s="34" t="s">
        <v>111</v>
      </c>
      <c r="N233" s="28">
        <v>176.0</v>
      </c>
      <c r="O233" s="22">
        <v>257.64</v>
      </c>
    </row>
    <row r="234" ht="15.75" customHeight="1">
      <c r="A234" s="19" t="s">
        <v>51</v>
      </c>
      <c r="B234" s="19" t="s">
        <v>52</v>
      </c>
      <c r="C234" s="19" t="s">
        <v>28</v>
      </c>
      <c r="D234" s="30">
        <v>45931.0</v>
      </c>
      <c r="E234" s="31">
        <v>155320.0</v>
      </c>
      <c r="F234" s="32">
        <v>46036.0</v>
      </c>
      <c r="G234" s="22">
        <v>26650.8</v>
      </c>
      <c r="H234" s="21" t="s">
        <v>97</v>
      </c>
      <c r="I234" s="32">
        <v>46096.0</v>
      </c>
      <c r="J234" s="19" t="s">
        <v>7</v>
      </c>
      <c r="K234" s="31" t="s">
        <v>145</v>
      </c>
      <c r="L234" s="19" t="s">
        <v>146</v>
      </c>
      <c r="M234" s="34" t="s">
        <v>147</v>
      </c>
      <c r="N234" s="28">
        <v>120.0</v>
      </c>
      <c r="O234" s="22">
        <v>222.09</v>
      </c>
    </row>
    <row r="235" ht="15.75" customHeight="1">
      <c r="A235" s="19" t="s">
        <v>51</v>
      </c>
      <c r="B235" s="19" t="s">
        <v>52</v>
      </c>
      <c r="C235" s="19" t="s">
        <v>28</v>
      </c>
      <c r="D235" s="30">
        <v>45931.0</v>
      </c>
      <c r="E235" s="31">
        <v>155317.0</v>
      </c>
      <c r="F235" s="32">
        <v>46036.0</v>
      </c>
      <c r="G235" s="22">
        <v>45456.28</v>
      </c>
      <c r="H235" s="21" t="s">
        <v>97</v>
      </c>
      <c r="I235" s="32">
        <v>46096.0</v>
      </c>
      <c r="J235" s="19" t="s">
        <v>7</v>
      </c>
      <c r="K235" s="31" t="s">
        <v>127</v>
      </c>
      <c r="L235" s="19" t="s">
        <v>128</v>
      </c>
      <c r="M235" s="34" t="s">
        <v>111</v>
      </c>
      <c r="N235" s="28">
        <v>175.0</v>
      </c>
      <c r="O235" s="22">
        <v>257.64</v>
      </c>
    </row>
    <row r="236" ht="15.75" customHeight="1">
      <c r="A236" s="19" t="s">
        <v>51</v>
      </c>
      <c r="B236" s="19" t="s">
        <v>52</v>
      </c>
      <c r="C236" s="19" t="s">
        <v>28</v>
      </c>
      <c r="D236" s="30">
        <v>45931.0</v>
      </c>
      <c r="E236" s="31">
        <v>155317.0</v>
      </c>
      <c r="F236" s="32">
        <v>46036.0</v>
      </c>
      <c r="G236" s="22">
        <v>35867.12</v>
      </c>
      <c r="H236" s="21" t="s">
        <v>97</v>
      </c>
      <c r="I236" s="32">
        <v>46096.0</v>
      </c>
      <c r="J236" s="19" t="s">
        <v>7</v>
      </c>
      <c r="K236" s="31" t="s">
        <v>134</v>
      </c>
      <c r="L236" s="19" t="s">
        <v>135</v>
      </c>
      <c r="M236" s="34" t="s">
        <v>111</v>
      </c>
      <c r="N236" s="28">
        <v>177.0</v>
      </c>
      <c r="O236" s="22">
        <v>202.62</v>
      </c>
    </row>
    <row r="237" ht="15.75" customHeight="1">
      <c r="A237" s="19" t="s">
        <v>51</v>
      </c>
      <c r="B237" s="19" t="s">
        <v>52</v>
      </c>
      <c r="C237" s="19" t="s">
        <v>28</v>
      </c>
      <c r="D237" s="30">
        <v>45931.0</v>
      </c>
      <c r="E237" s="31">
        <v>155317.0</v>
      </c>
      <c r="F237" s="32">
        <v>46036.0</v>
      </c>
      <c r="G237" s="22">
        <v>17783.28</v>
      </c>
      <c r="H237" s="21" t="s">
        <v>97</v>
      </c>
      <c r="I237" s="32">
        <v>46096.0</v>
      </c>
      <c r="J237" s="19" t="s">
        <v>7</v>
      </c>
      <c r="K237" s="31" t="s">
        <v>33</v>
      </c>
      <c r="L237" s="19" t="s">
        <v>112</v>
      </c>
      <c r="M237" s="34" t="s">
        <v>111</v>
      </c>
      <c r="N237" s="28">
        <v>87.0</v>
      </c>
      <c r="O237" s="22">
        <v>202.62</v>
      </c>
    </row>
    <row r="238" ht="15.75" customHeight="1">
      <c r="A238" s="19" t="s">
        <v>51</v>
      </c>
      <c r="B238" s="19" t="s">
        <v>52</v>
      </c>
      <c r="C238" s="19" t="s">
        <v>28</v>
      </c>
      <c r="D238" s="30">
        <v>45931.0</v>
      </c>
      <c r="E238" s="31">
        <v>155317.0</v>
      </c>
      <c r="F238" s="32">
        <v>46036.0</v>
      </c>
      <c r="G238" s="22">
        <v>49864.32</v>
      </c>
      <c r="H238" s="21" t="s">
        <v>97</v>
      </c>
      <c r="I238" s="32">
        <v>46096.0</v>
      </c>
      <c r="J238" s="19" t="s">
        <v>7</v>
      </c>
      <c r="K238" s="31" t="s">
        <v>31</v>
      </c>
      <c r="L238" s="19" t="s">
        <v>113</v>
      </c>
      <c r="M238" s="34" t="s">
        <v>114</v>
      </c>
      <c r="N238" s="28">
        <v>176.0</v>
      </c>
      <c r="O238" s="22">
        <v>283.32</v>
      </c>
    </row>
    <row r="239" ht="15.75" customHeight="1">
      <c r="A239" s="19" t="s">
        <v>51</v>
      </c>
      <c r="B239" s="19" t="s">
        <v>52</v>
      </c>
      <c r="C239" s="19" t="s">
        <v>28</v>
      </c>
      <c r="D239" s="30">
        <v>45931.0</v>
      </c>
      <c r="E239" s="31">
        <v>155316.0</v>
      </c>
      <c r="F239" s="32">
        <v>46036.0</v>
      </c>
      <c r="G239" s="22">
        <v>34359.79</v>
      </c>
      <c r="H239" s="21" t="s">
        <v>97</v>
      </c>
      <c r="I239" s="32">
        <v>46096.0</v>
      </c>
      <c r="J239" s="19" t="s">
        <v>14</v>
      </c>
      <c r="K239" s="31" t="s">
        <v>35</v>
      </c>
      <c r="L239" s="19" t="s">
        <v>36</v>
      </c>
      <c r="M239" s="34" t="s">
        <v>153</v>
      </c>
      <c r="N239" s="28">
        <v>177.0</v>
      </c>
      <c r="O239" s="22">
        <v>193.74</v>
      </c>
    </row>
    <row r="240" ht="15.75" customHeight="1">
      <c r="A240" s="19" t="s">
        <v>51</v>
      </c>
      <c r="B240" s="19" t="s">
        <v>52</v>
      </c>
      <c r="C240" s="19" t="s">
        <v>28</v>
      </c>
      <c r="D240" s="30">
        <v>45962.0</v>
      </c>
      <c r="E240" s="31">
        <v>155329.0</v>
      </c>
      <c r="F240" s="32">
        <v>46036.0</v>
      </c>
      <c r="G240" s="22">
        <v>41326.94</v>
      </c>
      <c r="H240" s="21" t="s">
        <v>97</v>
      </c>
      <c r="I240" s="32">
        <v>46096.0</v>
      </c>
      <c r="J240" s="19" t="s">
        <v>14</v>
      </c>
      <c r="K240" s="31" t="s">
        <v>122</v>
      </c>
      <c r="L240" s="19" t="s">
        <v>123</v>
      </c>
      <c r="M240" s="34" t="s">
        <v>114</v>
      </c>
      <c r="N240" s="28">
        <v>176.0</v>
      </c>
      <c r="O240" s="22">
        <v>283.32</v>
      </c>
    </row>
    <row r="241" ht="15.75" customHeight="1">
      <c r="A241" s="19" t="s">
        <v>51</v>
      </c>
      <c r="B241" s="19" t="s">
        <v>52</v>
      </c>
      <c r="C241" s="19" t="s">
        <v>28</v>
      </c>
      <c r="D241" s="30">
        <v>45962.0</v>
      </c>
      <c r="E241" s="31">
        <v>155329.0</v>
      </c>
      <c r="F241" s="32">
        <v>46036.0</v>
      </c>
      <c r="G241" s="22">
        <v>45160.0</v>
      </c>
      <c r="H241" s="21" t="s">
        <v>97</v>
      </c>
      <c r="I241" s="32">
        <v>46096.0</v>
      </c>
      <c r="J241" s="19" t="s">
        <v>14</v>
      </c>
      <c r="K241" s="31" t="s">
        <v>129</v>
      </c>
      <c r="L241" s="19" t="s">
        <v>130</v>
      </c>
      <c r="M241" s="34" t="s">
        <v>111</v>
      </c>
      <c r="N241" s="28">
        <v>176.0</v>
      </c>
      <c r="O241" s="22">
        <v>257.64</v>
      </c>
    </row>
    <row r="242" ht="15.75" customHeight="1">
      <c r="A242" s="19" t="s">
        <v>51</v>
      </c>
      <c r="B242" s="19" t="s">
        <v>52</v>
      </c>
      <c r="C242" s="19" t="s">
        <v>28</v>
      </c>
      <c r="D242" s="30">
        <v>45962.0</v>
      </c>
      <c r="E242" s="31">
        <v>155315.0</v>
      </c>
      <c r="F242" s="32">
        <v>46036.0</v>
      </c>
      <c r="G242" s="22">
        <v>43773.04</v>
      </c>
      <c r="H242" s="21" t="s">
        <v>97</v>
      </c>
      <c r="I242" s="32">
        <v>46096.0</v>
      </c>
      <c r="J242" s="19" t="s">
        <v>7</v>
      </c>
      <c r="K242" s="31" t="s">
        <v>127</v>
      </c>
      <c r="L242" s="19" t="s">
        <v>128</v>
      </c>
      <c r="M242" s="34" t="s">
        <v>111</v>
      </c>
      <c r="N242" s="28">
        <v>175.0</v>
      </c>
      <c r="O242" s="22">
        <v>257.64</v>
      </c>
    </row>
    <row r="243" ht="15.75" customHeight="1">
      <c r="A243" s="19" t="s">
        <v>51</v>
      </c>
      <c r="B243" s="19" t="s">
        <v>52</v>
      </c>
      <c r="C243" s="19" t="s">
        <v>28</v>
      </c>
      <c r="D243" s="30">
        <v>45962.0</v>
      </c>
      <c r="E243" s="31">
        <v>155315.0</v>
      </c>
      <c r="F243" s="32">
        <v>46036.0</v>
      </c>
      <c r="G243" s="22">
        <v>35907.64</v>
      </c>
      <c r="H243" s="21" t="s">
        <v>97</v>
      </c>
      <c r="I243" s="32">
        <v>46096.0</v>
      </c>
      <c r="J243" s="19" t="s">
        <v>7</v>
      </c>
      <c r="K243" s="31" t="s">
        <v>134</v>
      </c>
      <c r="L243" s="19" t="s">
        <v>135</v>
      </c>
      <c r="M243" s="34" t="s">
        <v>111</v>
      </c>
      <c r="N243" s="28">
        <v>177.0</v>
      </c>
      <c r="O243" s="22">
        <v>202.62</v>
      </c>
    </row>
    <row r="244" ht="15.75" customHeight="1">
      <c r="A244" s="19" t="s">
        <v>51</v>
      </c>
      <c r="B244" s="19" t="s">
        <v>52</v>
      </c>
      <c r="C244" s="19" t="s">
        <v>28</v>
      </c>
      <c r="D244" s="30">
        <v>45962.0</v>
      </c>
      <c r="E244" s="31">
        <v>155315.0</v>
      </c>
      <c r="F244" s="32">
        <v>46036.0</v>
      </c>
      <c r="G244" s="22">
        <v>35863.74</v>
      </c>
      <c r="H244" s="21" t="s">
        <v>97</v>
      </c>
      <c r="I244" s="32">
        <v>46096.0</v>
      </c>
      <c r="J244" s="19" t="s">
        <v>7</v>
      </c>
      <c r="K244" s="31" t="s">
        <v>33</v>
      </c>
      <c r="L244" s="19" t="s">
        <v>112</v>
      </c>
      <c r="M244" s="34" t="s">
        <v>111</v>
      </c>
      <c r="N244" s="28">
        <v>87.0</v>
      </c>
      <c r="O244" s="22">
        <v>202.62</v>
      </c>
    </row>
    <row r="245" ht="15.75" customHeight="1">
      <c r="A245" s="19" t="s">
        <v>51</v>
      </c>
      <c r="B245" s="19" t="s">
        <v>52</v>
      </c>
      <c r="C245" s="19" t="s">
        <v>28</v>
      </c>
      <c r="D245" s="30">
        <v>45962.0</v>
      </c>
      <c r="E245" s="31">
        <v>155315.0</v>
      </c>
      <c r="F245" s="32">
        <v>46036.0</v>
      </c>
      <c r="G245" s="22">
        <v>24932.16</v>
      </c>
      <c r="H245" s="21" t="s">
        <v>97</v>
      </c>
      <c r="I245" s="32">
        <v>46096.0</v>
      </c>
      <c r="J245" s="19" t="s">
        <v>7</v>
      </c>
      <c r="K245" s="31" t="s">
        <v>31</v>
      </c>
      <c r="L245" s="19" t="s">
        <v>113</v>
      </c>
      <c r="M245" s="34" t="s">
        <v>114</v>
      </c>
      <c r="N245" s="28">
        <v>176.0</v>
      </c>
      <c r="O245" s="22">
        <v>283.32</v>
      </c>
    </row>
    <row r="246" ht="15.75" customHeight="1">
      <c r="A246" s="19" t="s">
        <v>51</v>
      </c>
      <c r="B246" s="19" t="s">
        <v>52</v>
      </c>
      <c r="C246" s="19" t="s">
        <v>28</v>
      </c>
      <c r="D246" s="30">
        <v>45962.0</v>
      </c>
      <c r="E246" s="31">
        <v>155314.0</v>
      </c>
      <c r="F246" s="32">
        <v>46036.0</v>
      </c>
      <c r="G246" s="22">
        <v>28066.47</v>
      </c>
      <c r="H246" s="21" t="s">
        <v>97</v>
      </c>
      <c r="I246" s="32">
        <v>46096.0</v>
      </c>
      <c r="J246" s="19" t="s">
        <v>14</v>
      </c>
      <c r="K246" s="31" t="s">
        <v>35</v>
      </c>
      <c r="L246" s="19" t="s">
        <v>36</v>
      </c>
      <c r="M246" s="34" t="s">
        <v>153</v>
      </c>
      <c r="N246" s="28">
        <v>177.0</v>
      </c>
      <c r="O246" s="22">
        <v>193.74</v>
      </c>
    </row>
    <row r="247" ht="15.75" customHeight="1">
      <c r="A247" s="19" t="s">
        <v>51</v>
      </c>
      <c r="B247" s="19" t="s">
        <v>52</v>
      </c>
      <c r="C247" s="19" t="s">
        <v>28</v>
      </c>
      <c r="D247" s="30">
        <v>45962.0</v>
      </c>
      <c r="E247" s="31">
        <v>155313.0</v>
      </c>
      <c r="F247" s="32">
        <v>46036.0</v>
      </c>
      <c r="G247" s="22">
        <v>39143.36</v>
      </c>
      <c r="H247" s="21" t="s">
        <v>97</v>
      </c>
      <c r="I247" s="32">
        <v>46096.0</v>
      </c>
      <c r="J247" s="19" t="s">
        <v>7</v>
      </c>
      <c r="K247" s="31" t="s">
        <v>145</v>
      </c>
      <c r="L247" s="19" t="s">
        <v>146</v>
      </c>
      <c r="M247" s="34" t="s">
        <v>147</v>
      </c>
      <c r="N247" s="28">
        <v>120.0</v>
      </c>
      <c r="O247" s="22">
        <v>222.09</v>
      </c>
    </row>
    <row r="248" ht="15.75" customHeight="1">
      <c r="A248" s="19" t="s">
        <v>51</v>
      </c>
      <c r="B248" s="19" t="s">
        <v>52</v>
      </c>
      <c r="C248" s="19" t="s">
        <v>28</v>
      </c>
      <c r="D248" s="30">
        <v>45962.0</v>
      </c>
      <c r="E248" s="31">
        <v>155312.0</v>
      </c>
      <c r="F248" s="32">
        <v>46036.0</v>
      </c>
      <c r="G248" s="22">
        <v>27198.72</v>
      </c>
      <c r="H248" s="21" t="s">
        <v>97</v>
      </c>
      <c r="I248" s="32">
        <v>46096.0</v>
      </c>
      <c r="J248" s="19" t="s">
        <v>7</v>
      </c>
      <c r="K248" s="31" t="s">
        <v>29</v>
      </c>
      <c r="L248" s="19" t="s">
        <v>30</v>
      </c>
      <c r="M248" s="34" t="s">
        <v>144</v>
      </c>
      <c r="N248" s="28">
        <v>176.0</v>
      </c>
      <c r="O248" s="22">
        <v>283.32</v>
      </c>
    </row>
    <row r="249" ht="15.75" customHeight="1">
      <c r="A249" s="19" t="s">
        <v>51</v>
      </c>
      <c r="B249" s="19" t="s">
        <v>52</v>
      </c>
      <c r="C249" s="19" t="s">
        <v>28</v>
      </c>
      <c r="D249" s="30">
        <v>45992.0</v>
      </c>
      <c r="E249" s="31">
        <v>155311.0</v>
      </c>
      <c r="F249" s="32">
        <v>46036.0</v>
      </c>
      <c r="G249" s="22">
        <v>21055.66</v>
      </c>
      <c r="H249" s="21" t="s">
        <v>99</v>
      </c>
      <c r="I249" s="32">
        <v>46096.0</v>
      </c>
      <c r="J249" s="19" t="s">
        <v>14</v>
      </c>
      <c r="K249" s="31" t="s">
        <v>35</v>
      </c>
      <c r="L249" s="19" t="s">
        <v>36</v>
      </c>
      <c r="M249" s="34" t="s">
        <v>153</v>
      </c>
      <c r="N249" s="28">
        <v>108.68</v>
      </c>
      <c r="O249" s="22">
        <v>193.74</v>
      </c>
    </row>
    <row r="250" ht="15.75" customHeight="1">
      <c r="A250" s="19" t="s">
        <v>51</v>
      </c>
      <c r="B250" s="19" t="s">
        <v>52</v>
      </c>
      <c r="C250" s="19" t="s">
        <v>28</v>
      </c>
      <c r="D250" s="30">
        <v>45992.0</v>
      </c>
      <c r="E250" s="31">
        <v>155310.0</v>
      </c>
      <c r="F250" s="32">
        <v>46036.0</v>
      </c>
      <c r="G250" s="22">
        <v>19271.47</v>
      </c>
      <c r="H250" s="21" t="s">
        <v>99</v>
      </c>
      <c r="I250" s="32">
        <v>46096.0</v>
      </c>
      <c r="J250" s="19" t="s">
        <v>7</v>
      </c>
      <c r="K250" s="31" t="s">
        <v>127</v>
      </c>
      <c r="L250" s="19" t="s">
        <v>128</v>
      </c>
      <c r="M250" s="34" t="s">
        <v>111</v>
      </c>
      <c r="N250" s="28">
        <v>74.8</v>
      </c>
      <c r="O250" s="22">
        <v>257.64</v>
      </c>
    </row>
    <row r="251" ht="15.75" customHeight="1">
      <c r="A251" s="19" t="s">
        <v>51</v>
      </c>
      <c r="B251" s="19" t="s">
        <v>52</v>
      </c>
      <c r="C251" s="19" t="s">
        <v>28</v>
      </c>
      <c r="D251" s="30">
        <v>45992.0</v>
      </c>
      <c r="E251" s="31">
        <v>155310.0</v>
      </c>
      <c r="F251" s="32">
        <v>46036.0</v>
      </c>
      <c r="G251" s="22">
        <v>32490.12</v>
      </c>
      <c r="H251" s="21" t="s">
        <v>99</v>
      </c>
      <c r="I251" s="32">
        <v>46096.0</v>
      </c>
      <c r="J251" s="19" t="s">
        <v>7</v>
      </c>
      <c r="K251" s="31" t="s">
        <v>134</v>
      </c>
      <c r="L251" s="19" t="s">
        <v>135</v>
      </c>
      <c r="M251" s="34" t="s">
        <v>111</v>
      </c>
      <c r="N251" s="28">
        <v>160.35</v>
      </c>
      <c r="O251" s="22">
        <v>202.62</v>
      </c>
    </row>
    <row r="252" ht="15.75" customHeight="1">
      <c r="A252" s="19" t="s">
        <v>51</v>
      </c>
      <c r="B252" s="19" t="s">
        <v>52</v>
      </c>
      <c r="C252" s="19" t="s">
        <v>28</v>
      </c>
      <c r="D252" s="30">
        <v>45992.0</v>
      </c>
      <c r="E252" s="31">
        <v>155310.0</v>
      </c>
      <c r="F252" s="32">
        <v>46036.0</v>
      </c>
      <c r="G252" s="22">
        <v>32631.95</v>
      </c>
      <c r="H252" s="21" t="s">
        <v>99</v>
      </c>
      <c r="I252" s="32">
        <v>46096.0</v>
      </c>
      <c r="J252" s="19" t="s">
        <v>7</v>
      </c>
      <c r="K252" s="31" t="s">
        <v>33</v>
      </c>
      <c r="L252" s="19" t="s">
        <v>112</v>
      </c>
      <c r="M252" s="34" t="s">
        <v>111</v>
      </c>
      <c r="N252" s="28">
        <v>161.05</v>
      </c>
      <c r="O252" s="22">
        <v>202.62</v>
      </c>
    </row>
    <row r="253" ht="15.75" customHeight="1">
      <c r="A253" s="19" t="s">
        <v>51</v>
      </c>
      <c r="B253" s="19" t="s">
        <v>52</v>
      </c>
      <c r="C253" s="19" t="s">
        <v>28</v>
      </c>
      <c r="D253" s="30">
        <v>45992.0</v>
      </c>
      <c r="E253" s="31">
        <v>155310.0</v>
      </c>
      <c r="F253" s="32">
        <v>46036.0</v>
      </c>
      <c r="G253" s="22">
        <v>45331.2</v>
      </c>
      <c r="H253" s="21" t="s">
        <v>99</v>
      </c>
      <c r="I253" s="32">
        <v>46096.0</v>
      </c>
      <c r="J253" s="19" t="s">
        <v>7</v>
      </c>
      <c r="K253" s="31" t="s">
        <v>31</v>
      </c>
      <c r="L253" s="19" t="s">
        <v>113</v>
      </c>
      <c r="M253" s="34" t="s">
        <v>114</v>
      </c>
      <c r="N253" s="28">
        <v>160.0</v>
      </c>
      <c r="O253" s="22">
        <v>283.32</v>
      </c>
    </row>
    <row r="254" ht="15.75" customHeight="1">
      <c r="A254" s="19" t="s">
        <v>51</v>
      </c>
      <c r="B254" s="19" t="s">
        <v>52</v>
      </c>
      <c r="C254" s="19" t="s">
        <v>28</v>
      </c>
      <c r="D254" s="30">
        <v>45992.0</v>
      </c>
      <c r="E254" s="31">
        <v>155309.0</v>
      </c>
      <c r="F254" s="32">
        <v>46036.0</v>
      </c>
      <c r="G254" s="22">
        <v>31802.67</v>
      </c>
      <c r="H254" s="21" t="s">
        <v>99</v>
      </c>
      <c r="I254" s="32">
        <v>46096.0</v>
      </c>
      <c r="J254" s="19" t="s">
        <v>14</v>
      </c>
      <c r="K254" s="31" t="s">
        <v>122</v>
      </c>
      <c r="L254" s="19" t="s">
        <v>123</v>
      </c>
      <c r="M254" s="34" t="s">
        <v>114</v>
      </c>
      <c r="N254" s="28">
        <v>112.25</v>
      </c>
      <c r="O254" s="22">
        <v>283.32</v>
      </c>
    </row>
    <row r="255" ht="15.75" customHeight="1">
      <c r="A255" s="19" t="s">
        <v>51</v>
      </c>
      <c r="B255" s="19" t="s">
        <v>52</v>
      </c>
      <c r="C255" s="19" t="s">
        <v>28</v>
      </c>
      <c r="D255" s="30">
        <v>45992.0</v>
      </c>
      <c r="E255" s="31">
        <v>155309.0</v>
      </c>
      <c r="F255" s="32">
        <v>46036.0</v>
      </c>
      <c r="G255" s="22">
        <v>41510.96</v>
      </c>
      <c r="H255" s="21" t="s">
        <v>99</v>
      </c>
      <c r="I255" s="32">
        <v>46096.0</v>
      </c>
      <c r="J255" s="19" t="s">
        <v>14</v>
      </c>
      <c r="K255" s="31" t="s">
        <v>129</v>
      </c>
      <c r="L255" s="19" t="s">
        <v>130</v>
      </c>
      <c r="M255" s="34" t="s">
        <v>111</v>
      </c>
      <c r="N255" s="28">
        <v>161.12</v>
      </c>
      <c r="O255" s="22">
        <v>257.64</v>
      </c>
    </row>
    <row r="256" ht="15.75" customHeight="1">
      <c r="A256" s="19" t="s">
        <v>51</v>
      </c>
      <c r="B256" s="19" t="s">
        <v>52</v>
      </c>
      <c r="C256" s="19" t="s">
        <v>28</v>
      </c>
      <c r="D256" s="30">
        <v>45992.0</v>
      </c>
      <c r="E256" s="31">
        <v>155308.0</v>
      </c>
      <c r="F256" s="32">
        <v>46036.0</v>
      </c>
      <c r="G256" s="22">
        <v>45331.2</v>
      </c>
      <c r="H256" s="21" t="s">
        <v>99</v>
      </c>
      <c r="I256" s="32">
        <v>46096.0</v>
      </c>
      <c r="J256" s="19" t="s">
        <v>7</v>
      </c>
      <c r="K256" s="31" t="s">
        <v>29</v>
      </c>
      <c r="L256" s="19" t="s">
        <v>30</v>
      </c>
      <c r="M256" s="34" t="s">
        <v>144</v>
      </c>
      <c r="N256" s="28">
        <v>160.0</v>
      </c>
      <c r="O256" s="22">
        <v>283.32</v>
      </c>
    </row>
    <row r="257" ht="15.75" customHeight="1">
      <c r="A257" s="19" t="s">
        <v>51</v>
      </c>
      <c r="B257" s="19" t="s">
        <v>52</v>
      </c>
      <c r="C257" s="19" t="s">
        <v>28</v>
      </c>
      <c r="D257" s="30">
        <v>45992.0</v>
      </c>
      <c r="E257" s="31">
        <v>155307.0</v>
      </c>
      <c r="F257" s="32">
        <v>46036.0</v>
      </c>
      <c r="G257" s="22">
        <v>26852.9</v>
      </c>
      <c r="H257" s="21" t="s">
        <v>99</v>
      </c>
      <c r="I257" s="32">
        <v>46096.0</v>
      </c>
      <c r="J257" s="19" t="s">
        <v>7</v>
      </c>
      <c r="K257" s="31" t="s">
        <v>145</v>
      </c>
      <c r="L257" s="19" t="s">
        <v>146</v>
      </c>
      <c r="M257" s="34" t="s">
        <v>147</v>
      </c>
      <c r="N257" s="28">
        <v>120.91</v>
      </c>
      <c r="O257" s="22">
        <v>222.09</v>
      </c>
    </row>
    <row r="258" ht="15.75" customHeight="1">
      <c r="A258" s="19" t="s">
        <v>56</v>
      </c>
      <c r="B258" s="19" t="s">
        <v>57</v>
      </c>
      <c r="C258" s="19" t="s">
        <v>58</v>
      </c>
      <c r="D258" s="30">
        <v>45962.0</v>
      </c>
      <c r="E258" s="31">
        <v>45391.0</v>
      </c>
      <c r="F258" s="32">
        <v>46000.0</v>
      </c>
      <c r="G258" s="22">
        <v>32334.72</v>
      </c>
      <c r="H258" s="21" t="s">
        <v>97</v>
      </c>
      <c r="I258" s="32">
        <v>46030.0</v>
      </c>
      <c r="J258" s="19" t="s">
        <v>7</v>
      </c>
      <c r="K258" s="31" t="s">
        <v>154</v>
      </c>
      <c r="L258" s="19" t="s">
        <v>155</v>
      </c>
      <c r="M258" s="34" t="s">
        <v>156</v>
      </c>
      <c r="N258" s="28">
        <v>204.75</v>
      </c>
      <c r="O258" s="22">
        <v>184.6</v>
      </c>
    </row>
    <row r="259" ht="15.75" customHeight="1">
      <c r="A259" s="19" t="s">
        <v>56</v>
      </c>
      <c r="B259" s="19" t="s">
        <v>57</v>
      </c>
      <c r="C259" s="19" t="s">
        <v>58</v>
      </c>
      <c r="D259" s="30">
        <v>45992.0</v>
      </c>
      <c r="E259" s="31">
        <v>46398.0</v>
      </c>
      <c r="F259" s="32">
        <v>46038.0</v>
      </c>
      <c r="G259" s="22">
        <v>30218.4</v>
      </c>
      <c r="H259" s="21" t="s">
        <v>99</v>
      </c>
      <c r="I259" s="32">
        <v>46068.0</v>
      </c>
      <c r="J259" s="19" t="s">
        <v>7</v>
      </c>
      <c r="K259" s="31" t="s">
        <v>154</v>
      </c>
      <c r="L259" s="19" t="s">
        <v>155</v>
      </c>
      <c r="M259" s="34" t="s">
        <v>156</v>
      </c>
      <c r="N259" s="28">
        <v>204.75</v>
      </c>
      <c r="O259" s="22">
        <v>184.6</v>
      </c>
    </row>
    <row r="260" ht="15.75" customHeight="1">
      <c r="A260" s="19" t="s">
        <v>59</v>
      </c>
      <c r="B260" s="19" t="s">
        <v>60</v>
      </c>
      <c r="C260" s="19" t="s">
        <v>61</v>
      </c>
      <c r="D260" s="30">
        <v>45992.0</v>
      </c>
      <c r="E260" s="31"/>
      <c r="F260" s="32"/>
      <c r="G260" s="22">
        <v>35846.75</v>
      </c>
      <c r="H260" s="21" t="s">
        <v>99</v>
      </c>
      <c r="I260" s="32"/>
      <c r="J260" s="19" t="s">
        <v>14</v>
      </c>
      <c r="K260" s="31" t="s">
        <v>148</v>
      </c>
      <c r="L260" s="19" t="s">
        <v>149</v>
      </c>
      <c r="M260" s="34" t="s">
        <v>150</v>
      </c>
      <c r="N260" s="28">
        <v>185.85</v>
      </c>
      <c r="O260" s="22">
        <v>192.88</v>
      </c>
    </row>
    <row r="261" ht="15.75" customHeight="1">
      <c r="A261" s="19" t="s">
        <v>51</v>
      </c>
      <c r="B261" s="19" t="s">
        <v>52</v>
      </c>
      <c r="C261" s="19" t="s">
        <v>28</v>
      </c>
      <c r="D261" s="30">
        <v>46023.0</v>
      </c>
      <c r="E261" s="31">
        <v>155805.0</v>
      </c>
      <c r="F261" s="32">
        <v>46055.0</v>
      </c>
      <c r="G261" s="22">
        <v>32699.44</v>
      </c>
      <c r="H261" s="21" t="s">
        <v>100</v>
      </c>
      <c r="I261" s="32">
        <v>46115.0</v>
      </c>
      <c r="J261" s="19" t="s">
        <v>14</v>
      </c>
      <c r="K261" s="31" t="s">
        <v>35</v>
      </c>
      <c r="L261" s="19" t="s">
        <v>36</v>
      </c>
      <c r="M261" s="34" t="s">
        <v>153</v>
      </c>
      <c r="N261" s="28">
        <v>168.78</v>
      </c>
      <c r="O261" s="22">
        <v>193.74</v>
      </c>
    </row>
    <row r="262" ht="15.75" customHeight="1">
      <c r="A262" s="19" t="s">
        <v>51</v>
      </c>
      <c r="B262" s="19" t="s">
        <v>52</v>
      </c>
      <c r="C262" s="19" t="s">
        <v>28</v>
      </c>
      <c r="D262" s="30">
        <v>46023.0</v>
      </c>
      <c r="E262" s="31">
        <v>155816.0</v>
      </c>
      <c r="F262" s="32">
        <v>46055.0</v>
      </c>
      <c r="G262" s="22">
        <v>37028.02</v>
      </c>
      <c r="H262" s="21" t="s">
        <v>100</v>
      </c>
      <c r="I262" s="32">
        <v>46115.0</v>
      </c>
      <c r="J262" s="19" t="s">
        <v>7</v>
      </c>
      <c r="K262" s="31" t="s">
        <v>127</v>
      </c>
      <c r="L262" s="19" t="s">
        <v>128</v>
      </c>
      <c r="M262" s="34" t="s">
        <v>111</v>
      </c>
      <c r="N262" s="28">
        <v>143.72</v>
      </c>
      <c r="O262" s="22">
        <v>257.64</v>
      </c>
    </row>
    <row r="263" ht="15.75" customHeight="1">
      <c r="A263" s="19" t="s">
        <v>51</v>
      </c>
      <c r="B263" s="19" t="s">
        <v>52</v>
      </c>
      <c r="C263" s="19" t="s">
        <v>28</v>
      </c>
      <c r="D263" s="30">
        <v>46023.0</v>
      </c>
      <c r="E263" s="31">
        <v>155816.0</v>
      </c>
      <c r="F263" s="32">
        <v>46055.0</v>
      </c>
      <c r="G263" s="22">
        <v>29323.17</v>
      </c>
      <c r="H263" s="21" t="s">
        <v>100</v>
      </c>
      <c r="I263" s="32">
        <v>46115.0</v>
      </c>
      <c r="J263" s="19" t="s">
        <v>7</v>
      </c>
      <c r="K263" s="31" t="s">
        <v>134</v>
      </c>
      <c r="L263" s="19" t="s">
        <v>135</v>
      </c>
      <c r="M263" s="34" t="s">
        <v>111</v>
      </c>
      <c r="N263" s="28">
        <v>144.72</v>
      </c>
      <c r="O263" s="22">
        <v>202.62</v>
      </c>
    </row>
    <row r="264" ht="15.75" customHeight="1">
      <c r="A264" s="19" t="s">
        <v>51</v>
      </c>
      <c r="B264" s="19" t="s">
        <v>52</v>
      </c>
      <c r="C264" s="19" t="s">
        <v>28</v>
      </c>
      <c r="D264" s="30">
        <v>46023.0</v>
      </c>
      <c r="E264" s="31">
        <v>155816.0</v>
      </c>
      <c r="F264" s="32">
        <v>46055.0</v>
      </c>
      <c r="G264" s="22">
        <v>32500.25</v>
      </c>
      <c r="H264" s="21" t="s">
        <v>100</v>
      </c>
      <c r="I264" s="32">
        <v>46115.0</v>
      </c>
      <c r="J264" s="19" t="s">
        <v>7</v>
      </c>
      <c r="K264" s="31" t="s">
        <v>33</v>
      </c>
      <c r="L264" s="19" t="s">
        <v>112</v>
      </c>
      <c r="M264" s="34" t="s">
        <v>111</v>
      </c>
      <c r="N264" s="28">
        <v>160.4</v>
      </c>
      <c r="O264" s="22">
        <v>202.62</v>
      </c>
    </row>
    <row r="265" ht="15.75" customHeight="1">
      <c r="A265" s="19" t="s">
        <v>51</v>
      </c>
      <c r="B265" s="19" t="s">
        <v>52</v>
      </c>
      <c r="C265" s="19" t="s">
        <v>28</v>
      </c>
      <c r="D265" s="30">
        <v>46023.0</v>
      </c>
      <c r="E265" s="31">
        <v>155816.0</v>
      </c>
      <c r="F265" s="32">
        <v>46055.0</v>
      </c>
      <c r="G265" s="22">
        <v>48610.8</v>
      </c>
      <c r="H265" s="21" t="s">
        <v>100</v>
      </c>
      <c r="I265" s="32">
        <v>46115.0</v>
      </c>
      <c r="J265" s="19" t="s">
        <v>7</v>
      </c>
      <c r="K265" s="31" t="s">
        <v>31</v>
      </c>
      <c r="L265" s="19" t="s">
        <v>113</v>
      </c>
      <c r="M265" s="34" t="s">
        <v>114</v>
      </c>
      <c r="N265" s="28">
        <v>168.0</v>
      </c>
      <c r="O265" s="22">
        <v>289.35</v>
      </c>
    </row>
    <row r="266" ht="15.75" customHeight="1">
      <c r="A266" s="19" t="s">
        <v>51</v>
      </c>
      <c r="B266" s="19" t="s">
        <v>52</v>
      </c>
      <c r="C266" s="19" t="s">
        <v>28</v>
      </c>
      <c r="D266" s="30">
        <v>46023.0</v>
      </c>
      <c r="E266" s="31">
        <v>155800.0</v>
      </c>
      <c r="F266" s="32">
        <v>46055.0</v>
      </c>
      <c r="G266" s="22">
        <v>50359.68</v>
      </c>
      <c r="H266" s="21" t="s">
        <v>100</v>
      </c>
      <c r="I266" s="32">
        <v>46115.0</v>
      </c>
      <c r="J266" s="19" t="s">
        <v>7</v>
      </c>
      <c r="K266" s="31" t="s">
        <v>29</v>
      </c>
      <c r="L266" s="19" t="s">
        <v>159</v>
      </c>
      <c r="M266" s="34" t="s">
        <v>144</v>
      </c>
      <c r="N266" s="28">
        <v>168.0</v>
      </c>
      <c r="O266" s="22">
        <v>299.76</v>
      </c>
    </row>
    <row r="267" ht="15.75" customHeight="1">
      <c r="A267" s="19" t="s">
        <v>51</v>
      </c>
      <c r="B267" s="19" t="s">
        <v>52</v>
      </c>
      <c r="C267" s="19" t="s">
        <v>28</v>
      </c>
      <c r="D267" s="30">
        <v>46023.0</v>
      </c>
      <c r="E267" s="31">
        <v>155809.0</v>
      </c>
      <c r="F267" s="32">
        <v>46055.0</v>
      </c>
      <c r="G267" s="22">
        <v>21102.99</v>
      </c>
      <c r="H267" s="21" t="s">
        <v>100</v>
      </c>
      <c r="I267" s="32">
        <v>46115.0</v>
      </c>
      <c r="J267" s="19" t="s">
        <v>7</v>
      </c>
      <c r="K267" s="31" t="s">
        <v>145</v>
      </c>
      <c r="L267" s="19" t="s">
        <v>146</v>
      </c>
      <c r="M267" s="34" t="s">
        <v>147</v>
      </c>
      <c r="N267" s="28">
        <v>95.02</v>
      </c>
      <c r="O267" s="22">
        <v>222.09</v>
      </c>
    </row>
    <row r="268" ht="15.75" customHeight="1">
      <c r="A268" s="19" t="s">
        <v>51</v>
      </c>
      <c r="B268" s="19" t="s">
        <v>52</v>
      </c>
      <c r="C268" s="19" t="s">
        <v>28</v>
      </c>
      <c r="D268" s="30">
        <v>46023.0</v>
      </c>
      <c r="E268" s="31">
        <v>155818.0</v>
      </c>
      <c r="F268" s="32">
        <v>46056.0</v>
      </c>
      <c r="G268" s="22">
        <v>50082.48</v>
      </c>
      <c r="H268" s="21" t="s">
        <v>100</v>
      </c>
      <c r="I268" s="32">
        <v>46116.0</v>
      </c>
      <c r="J268" s="19" t="s">
        <v>14</v>
      </c>
      <c r="K268" s="31" t="s">
        <v>122</v>
      </c>
      <c r="L268" s="19" t="s">
        <v>123</v>
      </c>
      <c r="M268" s="34" t="s">
        <v>114</v>
      </c>
      <c r="N268" s="28">
        <v>176.77</v>
      </c>
      <c r="O268" s="22">
        <v>283.32</v>
      </c>
    </row>
    <row r="269" ht="15.75" customHeight="1">
      <c r="A269" s="19" t="s">
        <v>51</v>
      </c>
      <c r="B269" s="19" t="s">
        <v>52</v>
      </c>
      <c r="C269" s="19" t="s">
        <v>28</v>
      </c>
      <c r="D269" s="30">
        <v>46023.0</v>
      </c>
      <c r="E269" s="31">
        <v>155818.0</v>
      </c>
      <c r="F269" s="32">
        <v>46056.0</v>
      </c>
      <c r="G269" s="22">
        <v>26673.47</v>
      </c>
      <c r="H269" s="21" t="s">
        <v>100</v>
      </c>
      <c r="I269" s="32">
        <v>46116.0</v>
      </c>
      <c r="J269" s="19" t="s">
        <v>14</v>
      </c>
      <c r="K269" s="31" t="s">
        <v>129</v>
      </c>
      <c r="L269" s="19" t="s">
        <v>130</v>
      </c>
      <c r="M269" s="34" t="s">
        <v>111</v>
      </c>
      <c r="N269" s="28">
        <v>103.53</v>
      </c>
      <c r="O269" s="22">
        <v>257.64</v>
      </c>
    </row>
    <row r="270" ht="15.75" customHeight="1">
      <c r="A270" s="19" t="s">
        <v>65</v>
      </c>
      <c r="B270" s="19" t="s">
        <v>66</v>
      </c>
      <c r="C270" s="19" t="s">
        <v>19</v>
      </c>
      <c r="D270" s="30">
        <v>46023.0</v>
      </c>
      <c r="E270" s="31">
        <v>3274.0</v>
      </c>
      <c r="F270" s="32">
        <v>46058.0</v>
      </c>
      <c r="G270" s="22">
        <v>9472.85</v>
      </c>
      <c r="H270" s="21" t="s">
        <v>100</v>
      </c>
      <c r="I270" s="32">
        <v>46104.0</v>
      </c>
      <c r="J270" s="19" t="s">
        <v>14</v>
      </c>
      <c r="K270" s="31" t="s">
        <v>20</v>
      </c>
      <c r="L270" s="19" t="s">
        <v>21</v>
      </c>
      <c r="M270" s="34" t="s">
        <v>111</v>
      </c>
      <c r="N270" s="28">
        <v>160.0</v>
      </c>
      <c r="O270" s="22">
        <v>228.58</v>
      </c>
    </row>
    <row r="271" ht="15.75" customHeight="1">
      <c r="A271" s="19" t="s">
        <v>65</v>
      </c>
      <c r="B271" s="19" t="s">
        <v>66</v>
      </c>
      <c r="C271" s="19" t="s">
        <v>19</v>
      </c>
      <c r="D271" s="30">
        <v>46023.0</v>
      </c>
      <c r="E271" s="31">
        <v>3274.0</v>
      </c>
      <c r="F271" s="32">
        <v>46058.0</v>
      </c>
      <c r="G271" s="22">
        <v>36572.8</v>
      </c>
      <c r="H271" s="21" t="s">
        <v>100</v>
      </c>
      <c r="I271" s="32">
        <v>46104.0</v>
      </c>
      <c r="J271" s="19" t="s">
        <v>14</v>
      </c>
      <c r="K271" s="31" t="s">
        <v>141</v>
      </c>
      <c r="L271" s="19" t="s">
        <v>142</v>
      </c>
      <c r="M271" s="34" t="s">
        <v>143</v>
      </c>
      <c r="N271" s="28">
        <v>47.0</v>
      </c>
      <c r="O271" s="22">
        <v>201.55</v>
      </c>
    </row>
    <row r="272" ht="15.75" customHeight="1">
      <c r="A272" s="19" t="s">
        <v>65</v>
      </c>
      <c r="B272" s="19" t="s">
        <v>66</v>
      </c>
      <c r="C272" s="19" t="s">
        <v>19</v>
      </c>
      <c r="D272" s="30">
        <v>46023.0</v>
      </c>
      <c r="E272" s="31">
        <v>3276.0</v>
      </c>
      <c r="F272" s="32">
        <v>46058.0</v>
      </c>
      <c r="G272" s="22">
        <v>33791.46</v>
      </c>
      <c r="H272" s="21" t="s">
        <v>100</v>
      </c>
      <c r="I272" s="32">
        <v>46104.0</v>
      </c>
      <c r="J272" s="19" t="s">
        <v>7</v>
      </c>
      <c r="K272" s="31" t="s">
        <v>26</v>
      </c>
      <c r="L272" s="19" t="s">
        <v>27</v>
      </c>
      <c r="M272" s="34" t="s">
        <v>111</v>
      </c>
      <c r="N272" s="28">
        <v>158.0</v>
      </c>
      <c r="O272" s="22">
        <v>213.87</v>
      </c>
    </row>
    <row r="273" ht="15.75" customHeight="1">
      <c r="A273" s="19" t="s">
        <v>65</v>
      </c>
      <c r="B273" s="19" t="s">
        <v>66</v>
      </c>
      <c r="C273" s="19" t="s">
        <v>19</v>
      </c>
      <c r="D273" s="30">
        <v>46023.0</v>
      </c>
      <c r="E273" s="31">
        <v>3275.0</v>
      </c>
      <c r="F273" s="32">
        <v>46058.0</v>
      </c>
      <c r="G273" s="22">
        <v>34112.27</v>
      </c>
      <c r="H273" s="21" t="s">
        <v>100</v>
      </c>
      <c r="I273" s="32">
        <v>46104.0</v>
      </c>
      <c r="J273" s="19" t="s">
        <v>12</v>
      </c>
      <c r="K273" s="31" t="s">
        <v>39</v>
      </c>
      <c r="L273" s="19" t="s">
        <v>40</v>
      </c>
      <c r="M273" s="34" t="s">
        <v>111</v>
      </c>
      <c r="N273" s="28">
        <v>159.5</v>
      </c>
      <c r="O273" s="22">
        <v>213.87</v>
      </c>
    </row>
    <row r="274" ht="15.75" customHeight="1">
      <c r="A274" s="19" t="s">
        <v>65</v>
      </c>
      <c r="B274" s="19" t="s">
        <v>66</v>
      </c>
      <c r="C274" s="19" t="s">
        <v>19</v>
      </c>
      <c r="D274" s="30">
        <v>46023.0</v>
      </c>
      <c r="E274" s="31">
        <v>3275.0</v>
      </c>
      <c r="F274" s="32">
        <v>46058.0</v>
      </c>
      <c r="G274" s="22">
        <v>21623.68</v>
      </c>
      <c r="H274" s="21" t="s">
        <v>100</v>
      </c>
      <c r="I274" s="32">
        <v>46104.0</v>
      </c>
      <c r="J274" s="19" t="s">
        <v>12</v>
      </c>
      <c r="K274" s="31" t="s">
        <v>41</v>
      </c>
      <c r="L274" s="19" t="s">
        <v>42</v>
      </c>
      <c r="M274" s="34" t="s">
        <v>133</v>
      </c>
      <c r="N274" s="28">
        <v>113.0</v>
      </c>
      <c r="O274" s="22">
        <v>191.36</v>
      </c>
    </row>
    <row r="275" ht="15.75" customHeight="1">
      <c r="A275" s="19" t="s">
        <v>65</v>
      </c>
      <c r="B275" s="19" t="s">
        <v>66</v>
      </c>
      <c r="C275" s="19" t="s">
        <v>19</v>
      </c>
      <c r="D275" s="30">
        <v>46023.0</v>
      </c>
      <c r="E275" s="31">
        <v>3275.0</v>
      </c>
      <c r="F275" s="32">
        <v>46058.0</v>
      </c>
      <c r="G275" s="22">
        <v>34219.2</v>
      </c>
      <c r="H275" s="21" t="s">
        <v>100</v>
      </c>
      <c r="I275" s="32">
        <v>46104.0</v>
      </c>
      <c r="J275" s="19" t="s">
        <v>12</v>
      </c>
      <c r="K275" s="31" t="s">
        <v>37</v>
      </c>
      <c r="L275" s="19" t="s">
        <v>38</v>
      </c>
      <c r="M275" s="34" t="s">
        <v>120</v>
      </c>
      <c r="N275" s="28">
        <v>160.0</v>
      </c>
      <c r="O275" s="22">
        <v>213.87</v>
      </c>
    </row>
    <row r="276" ht="15.75" customHeight="1">
      <c r="A276" s="19" t="s">
        <v>65</v>
      </c>
      <c r="B276" s="19" t="s">
        <v>66</v>
      </c>
      <c r="C276" s="19" t="s">
        <v>19</v>
      </c>
      <c r="D276" s="30">
        <v>46023.0</v>
      </c>
      <c r="E276" s="31">
        <v>3275.0</v>
      </c>
      <c r="F276" s="32">
        <v>46058.0</v>
      </c>
      <c r="G276" s="22">
        <v>28744.13</v>
      </c>
      <c r="H276" s="21" t="s">
        <v>100</v>
      </c>
      <c r="I276" s="32">
        <v>46104.0</v>
      </c>
      <c r="J276" s="19" t="s">
        <v>12</v>
      </c>
      <c r="K276" s="31" t="s">
        <v>43</v>
      </c>
      <c r="L276" s="19" t="s">
        <v>44</v>
      </c>
      <c r="M276" s="34" t="s">
        <v>111</v>
      </c>
      <c r="N276" s="28">
        <v>0.0</v>
      </c>
      <c r="O276" s="22">
        <v>0.0</v>
      </c>
    </row>
    <row r="277" ht="15.75" customHeight="1">
      <c r="A277" s="19" t="s">
        <v>65</v>
      </c>
      <c r="B277" s="19" t="s">
        <v>66</v>
      </c>
      <c r="C277" s="19" t="s">
        <v>19</v>
      </c>
      <c r="D277" s="30">
        <v>46023.0</v>
      </c>
      <c r="E277" s="31">
        <v>3273.0</v>
      </c>
      <c r="F277" s="32">
        <v>46058.0</v>
      </c>
      <c r="G277" s="22">
        <v>22242.48</v>
      </c>
      <c r="H277" s="21" t="s">
        <v>100</v>
      </c>
      <c r="I277" s="32">
        <v>46104.0</v>
      </c>
      <c r="J277" s="19" t="s">
        <v>16</v>
      </c>
      <c r="K277" s="31" t="s">
        <v>22</v>
      </c>
      <c r="L277" s="19" t="s">
        <v>23</v>
      </c>
      <c r="M277" s="34" t="s">
        <v>119</v>
      </c>
      <c r="N277" s="28">
        <v>104.0</v>
      </c>
      <c r="O277" s="22">
        <v>213.87</v>
      </c>
    </row>
    <row r="278" ht="15.75" customHeight="1">
      <c r="A278" s="19" t="s">
        <v>65</v>
      </c>
      <c r="B278" s="19" t="s">
        <v>66</v>
      </c>
      <c r="C278" s="19" t="s">
        <v>19</v>
      </c>
      <c r="D278" s="30">
        <v>46023.0</v>
      </c>
      <c r="E278" s="31">
        <v>3273.0</v>
      </c>
      <c r="F278" s="32">
        <v>46058.0</v>
      </c>
      <c r="G278" s="22">
        <v>33791.46</v>
      </c>
      <c r="H278" s="21" t="s">
        <v>100</v>
      </c>
      <c r="I278" s="32">
        <v>46104.0</v>
      </c>
      <c r="J278" s="19" t="s">
        <v>16</v>
      </c>
      <c r="K278" s="31" t="s">
        <v>24</v>
      </c>
      <c r="L278" s="19" t="s">
        <v>25</v>
      </c>
      <c r="M278" s="34" t="s">
        <v>111</v>
      </c>
      <c r="N278" s="28">
        <v>158.0</v>
      </c>
      <c r="O278" s="22">
        <v>213.87</v>
      </c>
    </row>
    <row r="279" ht="15.75" customHeight="1">
      <c r="A279" s="19" t="s">
        <v>51</v>
      </c>
      <c r="B279" s="19" t="s">
        <v>52</v>
      </c>
      <c r="C279" s="19" t="s">
        <v>28</v>
      </c>
      <c r="D279" s="30">
        <v>46054.0</v>
      </c>
      <c r="E279" s="31">
        <v>156493.0</v>
      </c>
      <c r="F279" s="32">
        <v>46084.0</v>
      </c>
      <c r="G279" s="22">
        <v>33433.71</v>
      </c>
      <c r="H279" s="21" t="s">
        <v>101</v>
      </c>
      <c r="I279" s="32">
        <v>46144.0</v>
      </c>
      <c r="J279" s="19" t="s">
        <v>14</v>
      </c>
      <c r="K279" s="31" t="s">
        <v>35</v>
      </c>
      <c r="L279" s="19" t="s">
        <v>36</v>
      </c>
      <c r="M279" s="34" t="s">
        <v>153</v>
      </c>
      <c r="N279" s="28">
        <v>172.57</v>
      </c>
      <c r="O279" s="22">
        <v>193.74</v>
      </c>
    </row>
    <row r="280" ht="15.75" customHeight="1">
      <c r="A280" s="19" t="s">
        <v>51</v>
      </c>
      <c r="B280" s="19" t="s">
        <v>52</v>
      </c>
      <c r="C280" s="19" t="s">
        <v>28</v>
      </c>
      <c r="D280" s="30">
        <v>46054.0</v>
      </c>
      <c r="E280" s="31">
        <v>156493.0</v>
      </c>
      <c r="F280" s="32">
        <v>46084.0</v>
      </c>
      <c r="G280" s="22">
        <v>49768.2</v>
      </c>
      <c r="H280" s="21" t="s">
        <v>101</v>
      </c>
      <c r="I280" s="32">
        <v>46144.0</v>
      </c>
      <c r="J280" s="19" t="s">
        <v>14</v>
      </c>
      <c r="K280" s="31" t="s">
        <v>31</v>
      </c>
      <c r="L280" s="19" t="s">
        <v>113</v>
      </c>
      <c r="M280" s="34" t="s">
        <v>114</v>
      </c>
      <c r="N280" s="28">
        <v>172.0</v>
      </c>
      <c r="O280" s="22">
        <v>289.35</v>
      </c>
    </row>
    <row r="281" ht="15.75" customHeight="1">
      <c r="A281" s="19" t="s">
        <v>51</v>
      </c>
      <c r="B281" s="19" t="s">
        <v>52</v>
      </c>
      <c r="C281" s="19" t="s">
        <v>28</v>
      </c>
      <c r="D281" s="30">
        <v>46054.0</v>
      </c>
      <c r="E281" s="31">
        <v>156493.0</v>
      </c>
      <c r="F281" s="32">
        <v>46084.0</v>
      </c>
      <c r="G281" s="22">
        <v>26040.72</v>
      </c>
      <c r="H281" s="21" t="s">
        <v>101</v>
      </c>
      <c r="I281" s="32">
        <v>46144.0</v>
      </c>
      <c r="J281" s="19" t="s">
        <v>14</v>
      </c>
      <c r="K281" s="31" t="s">
        <v>33</v>
      </c>
      <c r="L281" s="19" t="s">
        <v>112</v>
      </c>
      <c r="M281" s="34" t="s">
        <v>111</v>
      </c>
      <c r="N281" s="28">
        <v>128.52</v>
      </c>
      <c r="O281" s="22">
        <v>202.62</v>
      </c>
    </row>
    <row r="282" ht="15.75" customHeight="1">
      <c r="A282" s="19" t="s">
        <v>51</v>
      </c>
      <c r="B282" s="19" t="s">
        <v>52</v>
      </c>
      <c r="C282" s="19" t="s">
        <v>28</v>
      </c>
      <c r="D282" s="30">
        <v>46054.0</v>
      </c>
      <c r="E282" s="31">
        <v>156493.0</v>
      </c>
      <c r="F282" s="32">
        <v>46084.0</v>
      </c>
      <c r="G282" s="22">
        <v>50359.68</v>
      </c>
      <c r="H282" s="21" t="s">
        <v>101</v>
      </c>
      <c r="I282" s="32">
        <v>46144.0</v>
      </c>
      <c r="J282" s="19" t="s">
        <v>14</v>
      </c>
      <c r="K282" s="31" t="s">
        <v>29</v>
      </c>
      <c r="L282" s="19" t="s">
        <v>159</v>
      </c>
      <c r="M282" s="34" t="s">
        <v>144</v>
      </c>
      <c r="N282" s="28">
        <v>168.0</v>
      </c>
      <c r="O282" s="22">
        <v>299.76</v>
      </c>
    </row>
    <row r="283" ht="15.75" customHeight="1">
      <c r="A283" s="19" t="s">
        <v>65</v>
      </c>
      <c r="B283" s="19" t="s">
        <v>66</v>
      </c>
      <c r="C283" s="19" t="s">
        <v>19</v>
      </c>
      <c r="D283" s="30">
        <v>46054.0</v>
      </c>
      <c r="E283" s="31">
        <v>3296.0</v>
      </c>
      <c r="F283" s="32">
        <v>46085.0</v>
      </c>
      <c r="G283" s="22">
        <v>35887.06</v>
      </c>
      <c r="H283" s="21" t="s">
        <v>101</v>
      </c>
      <c r="I283" s="32">
        <v>46131.0</v>
      </c>
      <c r="J283" s="19" t="s">
        <v>14</v>
      </c>
      <c r="K283" s="31" t="s">
        <v>20</v>
      </c>
      <c r="L283" s="19" t="s">
        <v>21</v>
      </c>
      <c r="M283" s="34" t="s">
        <v>111</v>
      </c>
      <c r="N283" s="28">
        <v>157.0</v>
      </c>
      <c r="O283" s="22">
        <v>228.58</v>
      </c>
    </row>
    <row r="284" ht="15.75" customHeight="1">
      <c r="A284" s="19" t="s">
        <v>65</v>
      </c>
      <c r="B284" s="19" t="s">
        <v>66</v>
      </c>
      <c r="C284" s="19" t="s">
        <v>19</v>
      </c>
      <c r="D284" s="30">
        <v>46054.0</v>
      </c>
      <c r="E284" s="31">
        <v>3296.0</v>
      </c>
      <c r="F284" s="32">
        <v>46085.0</v>
      </c>
      <c r="G284" s="22">
        <v>33577.59</v>
      </c>
      <c r="H284" s="21" t="s">
        <v>101</v>
      </c>
      <c r="I284" s="32">
        <v>46131.0</v>
      </c>
      <c r="J284" s="19" t="s">
        <v>14</v>
      </c>
      <c r="K284" s="31" t="s">
        <v>26</v>
      </c>
      <c r="L284" s="19" t="s">
        <v>27</v>
      </c>
      <c r="M284" s="34" t="s">
        <v>111</v>
      </c>
      <c r="N284" s="28">
        <v>157.0</v>
      </c>
      <c r="O284" s="22">
        <v>213.87</v>
      </c>
    </row>
    <row r="285" ht="15.75" customHeight="1">
      <c r="A285" s="19" t="s">
        <v>65</v>
      </c>
      <c r="B285" s="19" t="s">
        <v>66</v>
      </c>
      <c r="C285" s="19" t="s">
        <v>19</v>
      </c>
      <c r="D285" s="30">
        <v>46054.0</v>
      </c>
      <c r="E285" s="31">
        <v>3296.0</v>
      </c>
      <c r="F285" s="32">
        <v>46085.0</v>
      </c>
      <c r="G285" s="22">
        <v>33577.59</v>
      </c>
      <c r="H285" s="21" t="s">
        <v>101</v>
      </c>
      <c r="I285" s="32">
        <v>46131.0</v>
      </c>
      <c r="J285" s="19" t="s">
        <v>14</v>
      </c>
      <c r="K285" s="31" t="s">
        <v>22</v>
      </c>
      <c r="L285" s="19" t="s">
        <v>23</v>
      </c>
      <c r="M285" s="34" t="s">
        <v>119</v>
      </c>
      <c r="N285" s="28">
        <v>157.0</v>
      </c>
      <c r="O285" s="22">
        <v>213.87</v>
      </c>
    </row>
    <row r="286" ht="15.75" customHeight="1">
      <c r="A286" s="19" t="s">
        <v>65</v>
      </c>
      <c r="B286" s="19" t="s">
        <v>66</v>
      </c>
      <c r="C286" s="19" t="s">
        <v>19</v>
      </c>
      <c r="D286" s="30">
        <v>46054.0</v>
      </c>
      <c r="E286" s="31">
        <v>3296.0</v>
      </c>
      <c r="F286" s="32">
        <v>46085.0</v>
      </c>
      <c r="G286" s="22">
        <v>33577.59</v>
      </c>
      <c r="H286" s="21" t="s">
        <v>101</v>
      </c>
      <c r="I286" s="32">
        <v>46131.0</v>
      </c>
      <c r="J286" s="19" t="s">
        <v>14</v>
      </c>
      <c r="K286" s="31" t="s">
        <v>24</v>
      </c>
      <c r="L286" s="19" t="s">
        <v>25</v>
      </c>
      <c r="M286" s="34" t="s">
        <v>111</v>
      </c>
      <c r="N286" s="28">
        <v>157.0</v>
      </c>
      <c r="O286" s="22">
        <v>213.87</v>
      </c>
    </row>
    <row r="287" ht="15.75" customHeight="1">
      <c r="A287" s="19" t="s">
        <v>65</v>
      </c>
      <c r="B287" s="19" t="s">
        <v>66</v>
      </c>
      <c r="C287" s="19" t="s">
        <v>19</v>
      </c>
      <c r="D287" s="30">
        <v>46054.0</v>
      </c>
      <c r="E287" s="31">
        <v>3297.0</v>
      </c>
      <c r="F287" s="32">
        <v>46085.0</v>
      </c>
      <c r="G287" s="22">
        <v>34112.27</v>
      </c>
      <c r="H287" s="21" t="s">
        <v>101</v>
      </c>
      <c r="I287" s="32">
        <v>46131.0</v>
      </c>
      <c r="J287" s="19" t="s">
        <v>12</v>
      </c>
      <c r="K287" s="31" t="s">
        <v>39</v>
      </c>
      <c r="L287" s="19" t="s">
        <v>40</v>
      </c>
      <c r="M287" s="34" t="s">
        <v>111</v>
      </c>
      <c r="N287" s="28">
        <v>159.5</v>
      </c>
      <c r="O287" s="22">
        <v>213.87</v>
      </c>
    </row>
    <row r="288" ht="15.75" customHeight="1">
      <c r="A288" s="19" t="s">
        <v>65</v>
      </c>
      <c r="B288" s="19" t="s">
        <v>66</v>
      </c>
      <c r="C288" s="19" t="s">
        <v>19</v>
      </c>
      <c r="D288" s="30">
        <v>46054.0</v>
      </c>
      <c r="E288" s="31">
        <v>3297.0</v>
      </c>
      <c r="F288" s="32">
        <v>46085.0</v>
      </c>
      <c r="G288" s="22">
        <v>30043.52</v>
      </c>
      <c r="H288" s="21" t="s">
        <v>101</v>
      </c>
      <c r="I288" s="32">
        <v>46131.0</v>
      </c>
      <c r="J288" s="19" t="s">
        <v>12</v>
      </c>
      <c r="K288" s="31" t="s">
        <v>41</v>
      </c>
      <c r="L288" s="19" t="s">
        <v>42</v>
      </c>
      <c r="M288" s="34" t="s">
        <v>133</v>
      </c>
      <c r="N288" s="28">
        <v>157.0</v>
      </c>
      <c r="O288" s="22">
        <v>191.36</v>
      </c>
    </row>
    <row r="289" ht="15.75" customHeight="1">
      <c r="A289" s="19" t="s">
        <v>65</v>
      </c>
      <c r="B289" s="19" t="s">
        <v>66</v>
      </c>
      <c r="C289" s="19" t="s">
        <v>19</v>
      </c>
      <c r="D289" s="30">
        <v>46054.0</v>
      </c>
      <c r="E289" s="31">
        <v>3297.0</v>
      </c>
      <c r="F289" s="32">
        <v>46085.0</v>
      </c>
      <c r="G289" s="22">
        <v>33577.59</v>
      </c>
      <c r="H289" s="21" t="s">
        <v>101</v>
      </c>
      <c r="I289" s="32">
        <v>46131.0</v>
      </c>
      <c r="J289" s="19" t="s">
        <v>12</v>
      </c>
      <c r="K289" s="31" t="s">
        <v>37</v>
      </c>
      <c r="L289" s="19" t="s">
        <v>38</v>
      </c>
      <c r="M289" s="34" t="s">
        <v>120</v>
      </c>
      <c r="N289" s="28">
        <v>157.0</v>
      </c>
      <c r="O289" s="22">
        <v>213.87</v>
      </c>
    </row>
    <row r="290" ht="15.75" customHeight="1">
      <c r="A290" s="19" t="s">
        <v>65</v>
      </c>
      <c r="B290" s="19" t="s">
        <v>66</v>
      </c>
      <c r="C290" s="19" t="s">
        <v>19</v>
      </c>
      <c r="D290" s="30">
        <v>46054.0</v>
      </c>
      <c r="E290" s="31">
        <v>3297.0</v>
      </c>
      <c r="F290" s="32">
        <v>46085.0</v>
      </c>
      <c r="G290" s="22">
        <v>28744.13</v>
      </c>
      <c r="H290" s="21" t="s">
        <v>101</v>
      </c>
      <c r="I290" s="32">
        <v>46131.0</v>
      </c>
      <c r="J290" s="19" t="s">
        <v>12</v>
      </c>
      <c r="K290" s="31" t="s">
        <v>43</v>
      </c>
      <c r="L290" s="19" t="s">
        <v>44</v>
      </c>
      <c r="M290" s="34" t="s">
        <v>111</v>
      </c>
      <c r="N290" s="28">
        <v>0.0</v>
      </c>
      <c r="O290" s="22">
        <v>0.0</v>
      </c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36"/>
      <c r="O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36"/>
      <c r="O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1"/>
      <c r="I293" s="21"/>
      <c r="J293" s="23"/>
      <c r="K293" s="23"/>
      <c r="L293" s="23"/>
      <c r="M293" s="37"/>
      <c r="N293" s="36"/>
      <c r="O293" s="38"/>
    </row>
    <row r="294" ht="15.75" customHeight="1">
      <c r="A294" s="23"/>
      <c r="B294" s="23"/>
      <c r="C294" s="23"/>
      <c r="D294" s="23"/>
      <c r="E294" s="23"/>
      <c r="F294" s="23"/>
      <c r="G294" s="23"/>
      <c r="H294" s="21"/>
      <c r="I294" s="21"/>
      <c r="J294" s="23"/>
      <c r="K294" s="23"/>
      <c r="L294" s="23"/>
      <c r="M294" s="37"/>
      <c r="N294" s="36"/>
      <c r="O294" s="38"/>
    </row>
    <row r="295" ht="15.75" customHeight="1">
      <c r="A295" s="23"/>
      <c r="B295" s="23"/>
      <c r="C295" s="23"/>
      <c r="D295" s="23"/>
      <c r="E295" s="23"/>
      <c r="F295" s="23"/>
      <c r="G295" s="23"/>
      <c r="H295" s="21"/>
      <c r="I295" s="21"/>
      <c r="J295" s="23"/>
      <c r="K295" s="23"/>
      <c r="L295" s="23"/>
      <c r="M295" s="37"/>
      <c r="N295" s="36"/>
      <c r="O295" s="38"/>
    </row>
    <row r="296" ht="15.75" customHeight="1">
      <c r="A296" s="23"/>
      <c r="B296" s="23"/>
      <c r="C296" s="23"/>
      <c r="D296" s="23"/>
      <c r="E296" s="23"/>
      <c r="F296" s="23"/>
      <c r="G296" s="23"/>
      <c r="H296" s="21"/>
      <c r="I296" s="21"/>
      <c r="J296" s="23"/>
      <c r="K296" s="23"/>
      <c r="L296" s="23"/>
      <c r="M296" s="37"/>
      <c r="N296" s="36"/>
      <c r="O296" s="38"/>
    </row>
    <row r="297" ht="15.75" customHeight="1">
      <c r="A297" s="23"/>
      <c r="B297" s="23"/>
      <c r="C297" s="23"/>
      <c r="D297" s="23"/>
      <c r="E297" s="23"/>
      <c r="F297" s="23"/>
      <c r="G297" s="23"/>
      <c r="H297" s="21"/>
      <c r="I297" s="21"/>
      <c r="J297" s="23"/>
      <c r="K297" s="23"/>
      <c r="L297" s="23"/>
      <c r="M297" s="37"/>
      <c r="N297" s="36"/>
      <c r="O297" s="38"/>
    </row>
    <row r="298" ht="15.75" customHeight="1">
      <c r="A298" s="23"/>
      <c r="B298" s="23"/>
      <c r="C298" s="23"/>
      <c r="D298" s="23"/>
      <c r="E298" s="23"/>
      <c r="F298" s="23"/>
      <c r="G298" s="23"/>
      <c r="H298" s="21"/>
      <c r="I298" s="21"/>
      <c r="J298" s="23"/>
      <c r="K298" s="23"/>
      <c r="L298" s="23"/>
      <c r="M298" s="37"/>
      <c r="N298" s="36"/>
      <c r="O298" s="38"/>
    </row>
    <row r="299" ht="15.75" customHeight="1">
      <c r="A299" s="23"/>
      <c r="B299" s="23"/>
      <c r="C299" s="23"/>
      <c r="D299" s="23"/>
      <c r="E299" s="23"/>
      <c r="F299" s="23"/>
      <c r="G299" s="23"/>
      <c r="H299" s="21"/>
      <c r="I299" s="21"/>
      <c r="J299" s="23"/>
      <c r="K299" s="23"/>
      <c r="L299" s="23"/>
      <c r="M299" s="37"/>
      <c r="N299" s="36"/>
      <c r="O299" s="38"/>
    </row>
    <row r="300" ht="15.75" customHeight="1">
      <c r="A300" s="23"/>
      <c r="B300" s="23"/>
      <c r="C300" s="23"/>
      <c r="D300" s="23"/>
      <c r="E300" s="23"/>
      <c r="F300" s="23"/>
      <c r="G300" s="23"/>
      <c r="H300" s="21"/>
      <c r="I300" s="21"/>
      <c r="J300" s="23"/>
      <c r="K300" s="23"/>
      <c r="L300" s="23"/>
      <c r="M300" s="37"/>
      <c r="N300" s="36"/>
      <c r="O300" s="38"/>
    </row>
    <row r="301" ht="15.75" customHeight="1">
      <c r="A301" s="23"/>
      <c r="B301" s="23"/>
      <c r="C301" s="23"/>
      <c r="D301" s="23"/>
      <c r="E301" s="23"/>
      <c r="F301" s="23"/>
      <c r="G301" s="23"/>
      <c r="H301" s="21"/>
      <c r="I301" s="21"/>
      <c r="J301" s="23"/>
      <c r="K301" s="23"/>
      <c r="L301" s="23"/>
      <c r="M301" s="37"/>
      <c r="N301" s="36"/>
      <c r="O301" s="38"/>
    </row>
    <row r="302" ht="15.75" customHeight="1">
      <c r="A302" s="23"/>
      <c r="B302" s="23"/>
      <c r="C302" s="23"/>
      <c r="D302" s="23"/>
      <c r="E302" s="23"/>
      <c r="F302" s="23"/>
      <c r="G302" s="23"/>
      <c r="H302" s="21"/>
      <c r="I302" s="21"/>
      <c r="J302" s="23"/>
      <c r="K302" s="23"/>
      <c r="L302" s="23"/>
      <c r="M302" s="37"/>
      <c r="N302" s="36"/>
      <c r="O302" s="38"/>
    </row>
    <row r="303" ht="15.75" customHeight="1">
      <c r="A303" s="23"/>
      <c r="B303" s="23"/>
      <c r="C303" s="23"/>
      <c r="D303" s="23"/>
      <c r="E303" s="23"/>
      <c r="F303" s="23"/>
      <c r="G303" s="23"/>
      <c r="H303" s="21"/>
      <c r="I303" s="21"/>
      <c r="J303" s="23"/>
      <c r="K303" s="23"/>
      <c r="L303" s="23"/>
      <c r="M303" s="37"/>
      <c r="N303" s="36"/>
      <c r="O303" s="38"/>
    </row>
    <row r="304" ht="15.75" customHeight="1">
      <c r="A304" s="23"/>
      <c r="B304" s="23"/>
      <c r="C304" s="23"/>
      <c r="D304" s="23"/>
      <c r="E304" s="23"/>
      <c r="F304" s="23"/>
      <c r="G304" s="23"/>
      <c r="H304" s="21"/>
      <c r="I304" s="21"/>
      <c r="J304" s="23"/>
      <c r="K304" s="23"/>
      <c r="L304" s="23"/>
      <c r="M304" s="37"/>
      <c r="N304" s="36"/>
      <c r="O304" s="38"/>
    </row>
    <row r="305" ht="15.75" customHeight="1">
      <c r="A305" s="23"/>
      <c r="B305" s="23"/>
      <c r="C305" s="23"/>
      <c r="D305" s="23"/>
      <c r="E305" s="23"/>
      <c r="F305" s="23"/>
      <c r="G305" s="23"/>
      <c r="H305" s="21"/>
      <c r="I305" s="21"/>
      <c r="J305" s="23"/>
      <c r="K305" s="23"/>
      <c r="L305" s="23"/>
      <c r="M305" s="37"/>
      <c r="N305" s="36"/>
      <c r="O305" s="38"/>
    </row>
    <row r="306" ht="15.75" customHeight="1">
      <c r="A306" s="23"/>
      <c r="B306" s="23"/>
      <c r="C306" s="23"/>
      <c r="D306" s="23"/>
      <c r="E306" s="23"/>
      <c r="F306" s="23"/>
      <c r="G306" s="23"/>
      <c r="H306" s="21"/>
      <c r="I306" s="21"/>
      <c r="J306" s="23"/>
      <c r="K306" s="23"/>
      <c r="L306" s="23"/>
      <c r="M306" s="37"/>
      <c r="N306" s="36"/>
      <c r="O306" s="38"/>
    </row>
    <row r="307" ht="15.75" customHeight="1">
      <c r="A307" s="23"/>
      <c r="B307" s="23"/>
      <c r="C307" s="23"/>
      <c r="D307" s="23"/>
      <c r="E307" s="23"/>
      <c r="F307" s="23"/>
      <c r="G307" s="23"/>
      <c r="H307" s="21"/>
      <c r="I307" s="21"/>
      <c r="J307" s="23"/>
      <c r="K307" s="23"/>
      <c r="L307" s="23"/>
      <c r="M307" s="37"/>
      <c r="N307" s="36"/>
      <c r="O307" s="38"/>
    </row>
    <row r="308" ht="15.75" customHeight="1">
      <c r="A308" s="23"/>
      <c r="B308" s="23"/>
      <c r="C308" s="23"/>
      <c r="D308" s="23"/>
      <c r="E308" s="23"/>
      <c r="F308" s="23"/>
      <c r="G308" s="23"/>
      <c r="H308" s="21"/>
      <c r="I308" s="21"/>
      <c r="J308" s="23"/>
      <c r="K308" s="23"/>
      <c r="L308" s="23"/>
      <c r="M308" s="37"/>
      <c r="N308" s="36"/>
      <c r="O308" s="38"/>
    </row>
    <row r="309" ht="15.75" customHeight="1">
      <c r="A309" s="23"/>
      <c r="B309" s="23"/>
      <c r="C309" s="23"/>
      <c r="D309" s="23"/>
      <c r="E309" s="23"/>
      <c r="F309" s="23"/>
      <c r="G309" s="23"/>
      <c r="H309" s="21"/>
      <c r="I309" s="21"/>
      <c r="J309" s="23"/>
      <c r="K309" s="23"/>
      <c r="L309" s="23"/>
      <c r="M309" s="37"/>
      <c r="N309" s="36"/>
      <c r="O309" s="38"/>
    </row>
    <row r="310" ht="15.75" customHeight="1">
      <c r="A310" s="23"/>
      <c r="B310" s="23"/>
      <c r="C310" s="23"/>
      <c r="D310" s="23"/>
      <c r="E310" s="23"/>
      <c r="F310" s="23"/>
      <c r="G310" s="23"/>
      <c r="H310" s="21"/>
      <c r="I310" s="21"/>
      <c r="J310" s="23"/>
      <c r="K310" s="23"/>
      <c r="L310" s="23"/>
      <c r="M310" s="37"/>
      <c r="N310" s="36"/>
      <c r="O310" s="38"/>
    </row>
    <row r="311" ht="15.75" customHeight="1">
      <c r="A311" s="23"/>
      <c r="B311" s="23"/>
      <c r="C311" s="23"/>
      <c r="D311" s="23"/>
      <c r="E311" s="23"/>
      <c r="F311" s="23"/>
      <c r="G311" s="23"/>
      <c r="H311" s="21"/>
      <c r="I311" s="21"/>
      <c r="J311" s="23"/>
      <c r="K311" s="23"/>
      <c r="L311" s="23"/>
      <c r="M311" s="37"/>
      <c r="N311" s="36"/>
      <c r="O311" s="38"/>
    </row>
    <row r="312" ht="15.75" customHeight="1">
      <c r="A312" s="23"/>
      <c r="B312" s="23"/>
      <c r="C312" s="23"/>
      <c r="D312" s="23"/>
      <c r="E312" s="23"/>
      <c r="F312" s="23"/>
      <c r="G312" s="23"/>
      <c r="H312" s="21"/>
      <c r="I312" s="21"/>
      <c r="J312" s="23"/>
      <c r="K312" s="23"/>
      <c r="L312" s="23"/>
      <c r="M312" s="37"/>
      <c r="N312" s="36"/>
      <c r="O312" s="38"/>
    </row>
    <row r="313" ht="15.75" customHeight="1">
      <c r="A313" s="23"/>
      <c r="B313" s="23"/>
      <c r="C313" s="23"/>
      <c r="D313" s="23"/>
      <c r="E313" s="23"/>
      <c r="F313" s="23"/>
      <c r="G313" s="23"/>
      <c r="H313" s="21"/>
      <c r="I313" s="21"/>
      <c r="J313" s="23"/>
      <c r="K313" s="23"/>
      <c r="L313" s="23"/>
      <c r="M313" s="37"/>
      <c r="N313" s="36"/>
      <c r="O313" s="38"/>
    </row>
    <row r="314" ht="15.75" customHeight="1">
      <c r="A314" s="23"/>
      <c r="B314" s="23"/>
      <c r="C314" s="23"/>
      <c r="D314" s="23"/>
      <c r="E314" s="23"/>
      <c r="F314" s="23"/>
      <c r="G314" s="23"/>
      <c r="H314" s="21"/>
      <c r="I314" s="21"/>
      <c r="J314" s="23"/>
      <c r="K314" s="23"/>
      <c r="L314" s="23"/>
      <c r="M314" s="37"/>
      <c r="N314" s="36"/>
      <c r="O314" s="38"/>
    </row>
    <row r="315" ht="15.75" customHeight="1">
      <c r="A315" s="23"/>
      <c r="B315" s="23"/>
      <c r="C315" s="23"/>
      <c r="D315" s="23"/>
      <c r="E315" s="23"/>
      <c r="F315" s="23"/>
      <c r="G315" s="23"/>
      <c r="H315" s="21"/>
      <c r="I315" s="21"/>
      <c r="J315" s="23"/>
      <c r="K315" s="23"/>
      <c r="L315" s="23"/>
      <c r="M315" s="37"/>
      <c r="N315" s="36"/>
      <c r="O315" s="38"/>
    </row>
    <row r="316" ht="15.75" customHeight="1">
      <c r="A316" s="23"/>
      <c r="B316" s="23"/>
      <c r="C316" s="23"/>
      <c r="D316" s="23"/>
      <c r="E316" s="23"/>
      <c r="F316" s="23"/>
      <c r="G316" s="23"/>
      <c r="H316" s="21"/>
      <c r="I316" s="21"/>
      <c r="J316" s="23"/>
      <c r="K316" s="23"/>
      <c r="L316" s="23"/>
      <c r="M316" s="37"/>
      <c r="N316" s="36"/>
      <c r="O316" s="38"/>
    </row>
    <row r="317" ht="15.75" customHeight="1">
      <c r="A317" s="23"/>
      <c r="B317" s="23"/>
      <c r="C317" s="23"/>
      <c r="D317" s="23"/>
      <c r="E317" s="23"/>
      <c r="F317" s="23"/>
      <c r="G317" s="23"/>
      <c r="H317" s="21"/>
      <c r="I317" s="21"/>
      <c r="J317" s="23"/>
      <c r="K317" s="23"/>
      <c r="L317" s="23"/>
      <c r="M317" s="37"/>
      <c r="N317" s="36"/>
      <c r="O317" s="38"/>
    </row>
    <row r="318" ht="15.75" customHeight="1">
      <c r="A318" s="23"/>
      <c r="B318" s="23"/>
      <c r="C318" s="23"/>
      <c r="D318" s="23"/>
      <c r="E318" s="23"/>
      <c r="F318" s="23"/>
      <c r="G318" s="23"/>
      <c r="H318" s="21"/>
      <c r="I318" s="21"/>
      <c r="J318" s="23"/>
      <c r="K318" s="23"/>
      <c r="L318" s="23"/>
      <c r="M318" s="37"/>
      <c r="N318" s="36"/>
      <c r="O318" s="38"/>
    </row>
    <row r="319" ht="15.75" customHeight="1">
      <c r="A319" s="23"/>
      <c r="B319" s="23"/>
      <c r="C319" s="23"/>
      <c r="D319" s="23"/>
      <c r="E319" s="23"/>
      <c r="F319" s="23"/>
      <c r="G319" s="23"/>
      <c r="H319" s="21"/>
      <c r="I319" s="21"/>
      <c r="J319" s="23"/>
      <c r="K319" s="23"/>
      <c r="L319" s="23"/>
      <c r="M319" s="37"/>
      <c r="N319" s="36"/>
      <c r="O319" s="38"/>
    </row>
    <row r="320" ht="15.75" customHeight="1">
      <c r="A320" s="23"/>
      <c r="B320" s="23"/>
      <c r="C320" s="23"/>
      <c r="D320" s="23"/>
      <c r="E320" s="23"/>
      <c r="F320" s="23"/>
      <c r="G320" s="23"/>
      <c r="H320" s="21"/>
      <c r="I320" s="21"/>
      <c r="J320" s="23"/>
      <c r="K320" s="23"/>
      <c r="L320" s="23"/>
      <c r="M320" s="37"/>
      <c r="N320" s="36"/>
      <c r="O320" s="38"/>
    </row>
    <row r="321" ht="15.75" customHeight="1">
      <c r="A321" s="23"/>
      <c r="B321" s="23"/>
      <c r="C321" s="23"/>
      <c r="D321" s="23"/>
      <c r="E321" s="23"/>
      <c r="F321" s="23"/>
      <c r="G321" s="23"/>
      <c r="H321" s="21"/>
      <c r="I321" s="21"/>
      <c r="J321" s="23"/>
      <c r="K321" s="23"/>
      <c r="L321" s="23"/>
      <c r="M321" s="37"/>
      <c r="N321" s="36"/>
      <c r="O321" s="38"/>
    </row>
    <row r="322" ht="15.75" customHeight="1">
      <c r="A322" s="23"/>
      <c r="B322" s="23"/>
      <c r="C322" s="23"/>
      <c r="D322" s="23"/>
      <c r="E322" s="23"/>
      <c r="F322" s="23"/>
      <c r="G322" s="23"/>
      <c r="H322" s="21"/>
      <c r="I322" s="21"/>
      <c r="J322" s="23"/>
      <c r="K322" s="23"/>
      <c r="L322" s="23"/>
      <c r="M322" s="37"/>
      <c r="N322" s="36"/>
      <c r="O322" s="38"/>
    </row>
    <row r="323" ht="15.75" customHeight="1">
      <c r="A323" s="23"/>
      <c r="B323" s="23"/>
      <c r="C323" s="23"/>
      <c r="D323" s="23"/>
      <c r="E323" s="23"/>
      <c r="F323" s="23"/>
      <c r="G323" s="23"/>
      <c r="H323" s="21"/>
      <c r="I323" s="21"/>
      <c r="J323" s="23"/>
      <c r="K323" s="23"/>
      <c r="L323" s="23"/>
      <c r="M323" s="37"/>
      <c r="N323" s="36"/>
      <c r="O323" s="38"/>
    </row>
    <row r="324" ht="15.75" customHeight="1">
      <c r="A324" s="23"/>
      <c r="B324" s="23"/>
      <c r="C324" s="23"/>
      <c r="D324" s="23"/>
      <c r="E324" s="23"/>
      <c r="F324" s="23"/>
      <c r="G324" s="23"/>
      <c r="H324" s="21"/>
      <c r="I324" s="21"/>
      <c r="J324" s="23"/>
      <c r="K324" s="23"/>
      <c r="L324" s="23"/>
      <c r="M324" s="37"/>
      <c r="N324" s="36"/>
      <c r="O324" s="38"/>
    </row>
    <row r="325" ht="15.75" customHeight="1">
      <c r="A325" s="23"/>
      <c r="B325" s="23"/>
      <c r="C325" s="23"/>
      <c r="D325" s="23"/>
      <c r="E325" s="23"/>
      <c r="F325" s="23"/>
      <c r="G325" s="23"/>
      <c r="H325" s="21"/>
      <c r="I325" s="21"/>
      <c r="J325" s="23"/>
      <c r="K325" s="23"/>
      <c r="L325" s="23"/>
      <c r="M325" s="37"/>
      <c r="N325" s="36"/>
      <c r="O325" s="38"/>
    </row>
    <row r="326" ht="15.75" customHeight="1">
      <c r="A326" s="23"/>
      <c r="B326" s="23"/>
      <c r="C326" s="23"/>
      <c r="D326" s="23"/>
      <c r="E326" s="23"/>
      <c r="F326" s="23"/>
      <c r="G326" s="23"/>
      <c r="H326" s="21"/>
      <c r="I326" s="21"/>
      <c r="J326" s="23"/>
      <c r="K326" s="23"/>
      <c r="L326" s="23"/>
      <c r="M326" s="37"/>
      <c r="N326" s="36"/>
      <c r="O326" s="38"/>
    </row>
    <row r="327" ht="15.75" customHeight="1">
      <c r="A327" s="23"/>
      <c r="B327" s="23"/>
      <c r="C327" s="23"/>
      <c r="D327" s="23"/>
      <c r="E327" s="23"/>
      <c r="F327" s="23"/>
      <c r="G327" s="23"/>
      <c r="H327" s="21"/>
      <c r="I327" s="21"/>
      <c r="J327" s="23"/>
      <c r="K327" s="23"/>
      <c r="L327" s="23"/>
      <c r="M327" s="37"/>
      <c r="N327" s="36"/>
      <c r="O327" s="38"/>
    </row>
    <row r="328" ht="15.75" customHeight="1">
      <c r="A328" s="23"/>
      <c r="B328" s="23"/>
      <c r="C328" s="23"/>
      <c r="D328" s="23"/>
      <c r="E328" s="23"/>
      <c r="F328" s="23"/>
      <c r="G328" s="23"/>
      <c r="H328" s="21"/>
      <c r="I328" s="21"/>
      <c r="J328" s="23"/>
      <c r="K328" s="23"/>
      <c r="L328" s="23"/>
      <c r="M328" s="37"/>
      <c r="N328" s="36"/>
      <c r="O328" s="38"/>
    </row>
    <row r="329" ht="15.75" customHeight="1">
      <c r="A329" s="23"/>
      <c r="B329" s="23"/>
      <c r="C329" s="23"/>
      <c r="D329" s="23"/>
      <c r="E329" s="23"/>
      <c r="F329" s="23"/>
      <c r="G329" s="23"/>
      <c r="H329" s="21"/>
      <c r="I329" s="21"/>
      <c r="J329" s="23"/>
      <c r="K329" s="23"/>
      <c r="L329" s="23"/>
      <c r="M329" s="37"/>
      <c r="N329" s="36"/>
      <c r="O329" s="38"/>
    </row>
    <row r="330" ht="15.75" customHeight="1">
      <c r="A330" s="23"/>
      <c r="B330" s="23"/>
      <c r="C330" s="23"/>
      <c r="D330" s="23"/>
      <c r="E330" s="23"/>
      <c r="F330" s="23"/>
      <c r="G330" s="23"/>
      <c r="H330" s="21"/>
      <c r="I330" s="21"/>
      <c r="J330" s="23"/>
      <c r="K330" s="23"/>
      <c r="L330" s="23"/>
      <c r="M330" s="37"/>
      <c r="N330" s="36"/>
      <c r="O330" s="38"/>
    </row>
    <row r="331" ht="15.75" customHeight="1">
      <c r="A331" s="23"/>
      <c r="B331" s="23"/>
      <c r="C331" s="23"/>
      <c r="D331" s="23"/>
      <c r="E331" s="23"/>
      <c r="F331" s="23"/>
      <c r="G331" s="23"/>
      <c r="H331" s="21"/>
      <c r="I331" s="21"/>
      <c r="J331" s="23"/>
      <c r="K331" s="23"/>
      <c r="L331" s="23"/>
      <c r="M331" s="37"/>
      <c r="N331" s="36"/>
      <c r="O331" s="38"/>
    </row>
    <row r="332" ht="15.75" customHeight="1">
      <c r="A332" s="23"/>
      <c r="B332" s="23"/>
      <c r="C332" s="23"/>
      <c r="D332" s="23"/>
      <c r="E332" s="23"/>
      <c r="F332" s="23"/>
      <c r="G332" s="23"/>
      <c r="H332" s="21"/>
      <c r="I332" s="21"/>
      <c r="J332" s="23"/>
      <c r="K332" s="23"/>
      <c r="L332" s="23"/>
      <c r="M332" s="37"/>
      <c r="N332" s="36"/>
      <c r="O332" s="38"/>
    </row>
    <row r="333" ht="15.75" customHeight="1">
      <c r="A333" s="23"/>
      <c r="B333" s="23"/>
      <c r="C333" s="23"/>
      <c r="D333" s="23"/>
      <c r="E333" s="23"/>
      <c r="F333" s="23"/>
      <c r="G333" s="23"/>
      <c r="H333" s="21"/>
      <c r="I333" s="21"/>
      <c r="J333" s="23"/>
      <c r="K333" s="23"/>
      <c r="L333" s="23"/>
      <c r="M333" s="37"/>
      <c r="N333" s="36"/>
      <c r="O333" s="38"/>
    </row>
    <row r="334" ht="15.75" customHeight="1">
      <c r="A334" s="23"/>
      <c r="B334" s="23"/>
      <c r="C334" s="23"/>
      <c r="D334" s="23"/>
      <c r="E334" s="23"/>
      <c r="F334" s="23"/>
      <c r="G334" s="23"/>
      <c r="H334" s="21"/>
      <c r="I334" s="21"/>
      <c r="J334" s="23"/>
      <c r="K334" s="23"/>
      <c r="L334" s="23"/>
      <c r="M334" s="37"/>
      <c r="N334" s="36"/>
      <c r="O334" s="38"/>
    </row>
    <row r="335" ht="15.75" customHeight="1">
      <c r="A335" s="23"/>
      <c r="B335" s="23"/>
      <c r="C335" s="23"/>
      <c r="D335" s="23"/>
      <c r="E335" s="23"/>
      <c r="F335" s="23"/>
      <c r="G335" s="23"/>
      <c r="H335" s="21"/>
      <c r="I335" s="21"/>
      <c r="J335" s="23"/>
      <c r="K335" s="23"/>
      <c r="L335" s="23"/>
      <c r="M335" s="37"/>
      <c r="N335" s="36"/>
      <c r="O335" s="38"/>
    </row>
    <row r="336" ht="15.75" customHeight="1">
      <c r="A336" s="23"/>
      <c r="B336" s="23"/>
      <c r="C336" s="23"/>
      <c r="D336" s="23"/>
      <c r="E336" s="23"/>
      <c r="F336" s="23"/>
      <c r="G336" s="23"/>
      <c r="H336" s="21"/>
      <c r="I336" s="21"/>
      <c r="J336" s="23"/>
      <c r="K336" s="23"/>
      <c r="L336" s="23"/>
      <c r="M336" s="37"/>
      <c r="N336" s="36"/>
      <c r="O336" s="38"/>
    </row>
    <row r="337" ht="15.75" customHeight="1">
      <c r="A337" s="23"/>
      <c r="B337" s="23"/>
      <c r="C337" s="23"/>
      <c r="D337" s="23"/>
      <c r="E337" s="23"/>
      <c r="F337" s="23"/>
      <c r="G337" s="23"/>
      <c r="H337" s="21"/>
      <c r="I337" s="21"/>
      <c r="J337" s="23"/>
      <c r="K337" s="23"/>
      <c r="L337" s="23"/>
      <c r="M337" s="37"/>
      <c r="N337" s="36"/>
      <c r="O337" s="38"/>
    </row>
    <row r="338" ht="15.75" customHeight="1">
      <c r="A338" s="23"/>
      <c r="B338" s="23"/>
      <c r="C338" s="23"/>
      <c r="D338" s="23"/>
      <c r="E338" s="23"/>
      <c r="F338" s="23"/>
      <c r="G338" s="23"/>
      <c r="H338" s="21"/>
      <c r="I338" s="21"/>
      <c r="J338" s="23"/>
      <c r="K338" s="23"/>
      <c r="L338" s="23"/>
      <c r="M338" s="37"/>
      <c r="N338" s="36"/>
      <c r="O338" s="38"/>
    </row>
    <row r="339" ht="15.75" customHeight="1">
      <c r="A339" s="23"/>
      <c r="B339" s="23"/>
      <c r="C339" s="23"/>
      <c r="D339" s="23"/>
      <c r="E339" s="23"/>
      <c r="F339" s="23"/>
      <c r="G339" s="23"/>
      <c r="H339" s="21"/>
      <c r="I339" s="21"/>
      <c r="J339" s="23"/>
      <c r="K339" s="23"/>
      <c r="L339" s="23"/>
      <c r="M339" s="37"/>
      <c r="N339" s="36"/>
      <c r="O339" s="38"/>
    </row>
    <row r="340" ht="15.75" customHeight="1">
      <c r="A340" s="23"/>
      <c r="B340" s="23"/>
      <c r="C340" s="23"/>
      <c r="D340" s="23"/>
      <c r="E340" s="23"/>
      <c r="F340" s="23"/>
      <c r="G340" s="23"/>
      <c r="H340" s="21"/>
      <c r="I340" s="21"/>
      <c r="J340" s="23"/>
      <c r="K340" s="23"/>
      <c r="L340" s="23"/>
      <c r="M340" s="37"/>
      <c r="N340" s="36"/>
      <c r="O340" s="38"/>
    </row>
    <row r="341" ht="15.75" customHeight="1">
      <c r="A341" s="23"/>
      <c r="B341" s="23"/>
      <c r="C341" s="23"/>
      <c r="D341" s="23"/>
      <c r="E341" s="23"/>
      <c r="F341" s="23"/>
      <c r="G341" s="23"/>
      <c r="H341" s="21"/>
      <c r="I341" s="21"/>
      <c r="J341" s="23"/>
      <c r="K341" s="23"/>
      <c r="L341" s="23"/>
      <c r="M341" s="37"/>
      <c r="N341" s="36"/>
      <c r="O341" s="38"/>
    </row>
    <row r="342" ht="15.75" customHeight="1">
      <c r="A342" s="23"/>
      <c r="B342" s="23"/>
      <c r="C342" s="23"/>
      <c r="D342" s="23"/>
      <c r="E342" s="23"/>
      <c r="F342" s="23"/>
      <c r="G342" s="23"/>
      <c r="H342" s="21"/>
      <c r="I342" s="21"/>
      <c r="J342" s="23"/>
      <c r="K342" s="23"/>
      <c r="L342" s="23"/>
      <c r="M342" s="37"/>
      <c r="N342" s="36"/>
      <c r="O342" s="38"/>
    </row>
    <row r="343" ht="15.75" customHeight="1">
      <c r="A343" s="23"/>
      <c r="B343" s="23"/>
      <c r="C343" s="23"/>
      <c r="D343" s="23"/>
      <c r="E343" s="23"/>
      <c r="F343" s="23"/>
      <c r="G343" s="23"/>
      <c r="H343" s="21"/>
      <c r="I343" s="21"/>
      <c r="J343" s="23"/>
      <c r="K343" s="23"/>
      <c r="L343" s="23"/>
      <c r="M343" s="37"/>
      <c r="N343" s="36"/>
      <c r="O343" s="38"/>
    </row>
    <row r="344" ht="15.75" customHeight="1">
      <c r="A344" s="23"/>
      <c r="B344" s="23"/>
      <c r="C344" s="23"/>
      <c r="D344" s="23"/>
      <c r="E344" s="23"/>
      <c r="F344" s="23"/>
      <c r="G344" s="23"/>
      <c r="H344" s="21"/>
      <c r="I344" s="21"/>
      <c r="J344" s="23"/>
      <c r="K344" s="23"/>
      <c r="L344" s="23"/>
      <c r="M344" s="37"/>
      <c r="N344" s="36"/>
      <c r="O344" s="38"/>
    </row>
    <row r="345" ht="15.75" customHeight="1">
      <c r="A345" s="23"/>
      <c r="B345" s="23"/>
      <c r="C345" s="23"/>
      <c r="D345" s="23"/>
      <c r="E345" s="23"/>
      <c r="F345" s="23"/>
      <c r="G345" s="23"/>
      <c r="H345" s="21"/>
      <c r="I345" s="21"/>
      <c r="J345" s="23"/>
      <c r="K345" s="23"/>
      <c r="L345" s="23"/>
      <c r="M345" s="37"/>
      <c r="N345" s="36"/>
      <c r="O345" s="38"/>
    </row>
    <row r="346" ht="15.75" customHeight="1">
      <c r="A346" s="23"/>
      <c r="B346" s="23"/>
      <c r="C346" s="23"/>
      <c r="D346" s="23"/>
      <c r="E346" s="23"/>
      <c r="F346" s="23"/>
      <c r="G346" s="23"/>
      <c r="H346" s="21"/>
      <c r="I346" s="21"/>
      <c r="J346" s="23"/>
      <c r="K346" s="23"/>
      <c r="L346" s="23"/>
      <c r="M346" s="37"/>
      <c r="N346" s="36"/>
      <c r="O346" s="38"/>
    </row>
    <row r="347" ht="15.75" customHeight="1">
      <c r="A347" s="23"/>
      <c r="B347" s="23"/>
      <c r="C347" s="23"/>
      <c r="D347" s="23"/>
      <c r="E347" s="23"/>
      <c r="F347" s="23"/>
      <c r="G347" s="23"/>
      <c r="H347" s="21"/>
      <c r="I347" s="21"/>
      <c r="J347" s="23"/>
      <c r="K347" s="23"/>
      <c r="L347" s="23"/>
      <c r="M347" s="37"/>
      <c r="N347" s="36"/>
      <c r="O347" s="38"/>
    </row>
    <row r="348" ht="15.75" customHeight="1">
      <c r="A348" s="23"/>
      <c r="B348" s="23"/>
      <c r="C348" s="23"/>
      <c r="D348" s="23"/>
      <c r="E348" s="23"/>
      <c r="F348" s="23"/>
      <c r="G348" s="23"/>
      <c r="H348" s="21"/>
      <c r="I348" s="21"/>
      <c r="J348" s="23"/>
      <c r="K348" s="23"/>
      <c r="L348" s="23"/>
      <c r="M348" s="37"/>
      <c r="N348" s="36"/>
      <c r="O348" s="38"/>
    </row>
    <row r="349" ht="15.75" customHeight="1">
      <c r="A349" s="23"/>
      <c r="B349" s="23"/>
      <c r="C349" s="23"/>
      <c r="D349" s="23"/>
      <c r="E349" s="23"/>
      <c r="F349" s="23"/>
      <c r="G349" s="23"/>
      <c r="H349" s="21"/>
      <c r="I349" s="21"/>
      <c r="J349" s="23"/>
      <c r="K349" s="23"/>
      <c r="L349" s="23"/>
      <c r="M349" s="37"/>
      <c r="N349" s="36"/>
      <c r="O349" s="38"/>
    </row>
    <row r="350" ht="15.75" customHeight="1">
      <c r="A350" s="23"/>
      <c r="B350" s="23"/>
      <c r="C350" s="23"/>
      <c r="D350" s="23"/>
      <c r="E350" s="23"/>
      <c r="F350" s="23"/>
      <c r="G350" s="23"/>
      <c r="H350" s="21"/>
      <c r="I350" s="21"/>
      <c r="J350" s="23"/>
      <c r="K350" s="23"/>
      <c r="L350" s="23"/>
      <c r="M350" s="37"/>
      <c r="N350" s="36"/>
      <c r="O350" s="38"/>
    </row>
    <row r="351" ht="15.75" customHeight="1">
      <c r="A351" s="23"/>
      <c r="B351" s="23"/>
      <c r="C351" s="23"/>
      <c r="D351" s="23"/>
      <c r="E351" s="23"/>
      <c r="F351" s="23"/>
      <c r="G351" s="23"/>
      <c r="H351" s="21"/>
      <c r="I351" s="21"/>
      <c r="J351" s="23"/>
      <c r="K351" s="23"/>
      <c r="L351" s="23"/>
      <c r="M351" s="37"/>
      <c r="N351" s="36"/>
      <c r="O351" s="38"/>
    </row>
    <row r="352" ht="15.75" customHeight="1">
      <c r="A352" s="23"/>
      <c r="B352" s="23"/>
      <c r="C352" s="23"/>
      <c r="D352" s="23"/>
      <c r="E352" s="23"/>
      <c r="F352" s="23"/>
      <c r="G352" s="23"/>
      <c r="H352" s="21"/>
      <c r="I352" s="21"/>
      <c r="J352" s="23"/>
      <c r="K352" s="23"/>
      <c r="L352" s="23"/>
      <c r="M352" s="37"/>
      <c r="N352" s="36"/>
      <c r="O352" s="38"/>
    </row>
    <row r="353" ht="15.75" customHeight="1">
      <c r="A353" s="23"/>
      <c r="B353" s="23"/>
      <c r="C353" s="23"/>
      <c r="D353" s="23"/>
      <c r="E353" s="23"/>
      <c r="F353" s="23"/>
      <c r="G353" s="23"/>
      <c r="H353" s="21"/>
      <c r="I353" s="21"/>
      <c r="J353" s="23"/>
      <c r="K353" s="23"/>
      <c r="L353" s="23"/>
      <c r="M353" s="37"/>
      <c r="N353" s="36"/>
      <c r="O353" s="38"/>
    </row>
    <row r="354" ht="15.75" customHeight="1">
      <c r="A354" s="23"/>
      <c r="B354" s="23"/>
      <c r="C354" s="23"/>
      <c r="D354" s="23"/>
      <c r="E354" s="23"/>
      <c r="F354" s="23"/>
      <c r="G354" s="23"/>
      <c r="H354" s="21"/>
      <c r="I354" s="21"/>
      <c r="J354" s="23"/>
      <c r="K354" s="23"/>
      <c r="L354" s="23"/>
      <c r="M354" s="37"/>
      <c r="N354" s="36"/>
      <c r="O354" s="38"/>
    </row>
    <row r="355" ht="15.75" customHeight="1">
      <c r="A355" s="23"/>
      <c r="B355" s="23"/>
      <c r="C355" s="23"/>
      <c r="D355" s="23"/>
      <c r="E355" s="23"/>
      <c r="F355" s="23"/>
      <c r="G355" s="23"/>
      <c r="H355" s="21"/>
      <c r="I355" s="21"/>
      <c r="J355" s="23"/>
      <c r="K355" s="23"/>
      <c r="L355" s="23"/>
      <c r="M355" s="37"/>
      <c r="N355" s="36"/>
      <c r="O355" s="38"/>
    </row>
    <row r="356" ht="15.75" customHeight="1">
      <c r="A356" s="23"/>
      <c r="B356" s="23"/>
      <c r="C356" s="23"/>
      <c r="D356" s="23"/>
      <c r="E356" s="23"/>
      <c r="F356" s="23"/>
      <c r="G356" s="23"/>
      <c r="H356" s="21"/>
      <c r="I356" s="21"/>
      <c r="J356" s="23"/>
      <c r="K356" s="23"/>
      <c r="L356" s="23"/>
      <c r="M356" s="37"/>
      <c r="N356" s="36"/>
      <c r="O356" s="38"/>
    </row>
    <row r="357" ht="15.75" customHeight="1">
      <c r="A357" s="23"/>
      <c r="B357" s="23"/>
      <c r="C357" s="23"/>
      <c r="D357" s="23"/>
      <c r="E357" s="23"/>
      <c r="F357" s="23"/>
      <c r="G357" s="23"/>
      <c r="H357" s="21"/>
      <c r="I357" s="21"/>
      <c r="J357" s="23"/>
      <c r="K357" s="23"/>
      <c r="L357" s="23"/>
      <c r="M357" s="37"/>
      <c r="N357" s="36"/>
      <c r="O357" s="38"/>
    </row>
    <row r="358" ht="15.75" customHeight="1">
      <c r="A358" s="23"/>
      <c r="B358" s="23"/>
      <c r="C358" s="23"/>
      <c r="D358" s="23"/>
      <c r="E358" s="23"/>
      <c r="F358" s="23"/>
      <c r="G358" s="23"/>
      <c r="H358" s="21"/>
      <c r="I358" s="21"/>
      <c r="J358" s="23"/>
      <c r="K358" s="23"/>
      <c r="L358" s="23"/>
      <c r="M358" s="37"/>
      <c r="N358" s="36"/>
      <c r="O358" s="38"/>
    </row>
    <row r="359" ht="15.75" customHeight="1">
      <c r="A359" s="23"/>
      <c r="B359" s="23"/>
      <c r="C359" s="23"/>
      <c r="D359" s="23"/>
      <c r="E359" s="23"/>
      <c r="F359" s="23"/>
      <c r="G359" s="23"/>
      <c r="H359" s="21"/>
      <c r="I359" s="21"/>
      <c r="J359" s="23"/>
      <c r="K359" s="23"/>
      <c r="L359" s="23"/>
      <c r="M359" s="37"/>
      <c r="N359" s="36"/>
      <c r="O359" s="38"/>
    </row>
    <row r="360" ht="15.75" customHeight="1">
      <c r="A360" s="23"/>
      <c r="B360" s="23"/>
      <c r="C360" s="23"/>
      <c r="D360" s="23"/>
      <c r="E360" s="23"/>
      <c r="F360" s="23"/>
      <c r="G360" s="23"/>
      <c r="H360" s="21"/>
      <c r="I360" s="21"/>
      <c r="J360" s="23"/>
      <c r="K360" s="23"/>
      <c r="L360" s="23"/>
      <c r="M360" s="37"/>
      <c r="N360" s="36"/>
      <c r="O360" s="38"/>
    </row>
    <row r="361" ht="15.75" customHeight="1">
      <c r="A361" s="23"/>
      <c r="B361" s="23"/>
      <c r="C361" s="23"/>
      <c r="D361" s="23"/>
      <c r="E361" s="23"/>
      <c r="F361" s="23"/>
      <c r="G361" s="23"/>
      <c r="H361" s="21"/>
      <c r="I361" s="21"/>
      <c r="J361" s="23"/>
      <c r="K361" s="23"/>
      <c r="L361" s="23"/>
      <c r="M361" s="37"/>
      <c r="N361" s="36"/>
      <c r="O361" s="38"/>
    </row>
    <row r="362" ht="15.75" customHeight="1">
      <c r="A362" s="23"/>
      <c r="B362" s="23"/>
      <c r="C362" s="23"/>
      <c r="D362" s="23"/>
      <c r="E362" s="23"/>
      <c r="F362" s="23"/>
      <c r="G362" s="23"/>
      <c r="H362" s="21"/>
      <c r="I362" s="21"/>
      <c r="J362" s="23"/>
      <c r="K362" s="23"/>
      <c r="L362" s="23"/>
      <c r="M362" s="37"/>
      <c r="N362" s="36"/>
      <c r="O362" s="38"/>
    </row>
    <row r="363" ht="15.75" customHeight="1">
      <c r="A363" s="23"/>
      <c r="B363" s="23"/>
      <c r="C363" s="23"/>
      <c r="D363" s="23"/>
      <c r="E363" s="23"/>
      <c r="F363" s="23"/>
      <c r="G363" s="23"/>
      <c r="H363" s="21"/>
      <c r="I363" s="21"/>
      <c r="J363" s="23"/>
      <c r="K363" s="23"/>
      <c r="L363" s="23"/>
      <c r="M363" s="37"/>
      <c r="N363" s="36"/>
      <c r="O363" s="38"/>
    </row>
    <row r="364" ht="15.75" customHeight="1">
      <c r="A364" s="23"/>
      <c r="B364" s="23"/>
      <c r="C364" s="23"/>
      <c r="D364" s="23"/>
      <c r="E364" s="23"/>
      <c r="F364" s="23"/>
      <c r="G364" s="23"/>
      <c r="H364" s="21"/>
      <c r="I364" s="21"/>
      <c r="J364" s="23"/>
      <c r="K364" s="23"/>
      <c r="L364" s="23"/>
      <c r="M364" s="37"/>
      <c r="N364" s="36"/>
      <c r="O364" s="38"/>
    </row>
    <row r="365" ht="15.75" customHeight="1">
      <c r="A365" s="23"/>
      <c r="B365" s="23"/>
      <c r="C365" s="23"/>
      <c r="D365" s="23"/>
      <c r="E365" s="23"/>
      <c r="F365" s="23"/>
      <c r="G365" s="23"/>
      <c r="H365" s="21"/>
      <c r="I365" s="21"/>
      <c r="J365" s="23"/>
      <c r="K365" s="23"/>
      <c r="L365" s="23"/>
      <c r="M365" s="37"/>
      <c r="N365" s="36"/>
      <c r="O365" s="38"/>
    </row>
    <row r="366" ht="15.75" customHeight="1">
      <c r="A366" s="23"/>
      <c r="B366" s="23"/>
      <c r="C366" s="23"/>
      <c r="D366" s="23"/>
      <c r="E366" s="23"/>
      <c r="F366" s="23"/>
      <c r="G366" s="23"/>
      <c r="H366" s="21"/>
      <c r="I366" s="21"/>
      <c r="J366" s="23"/>
      <c r="K366" s="23"/>
      <c r="L366" s="23"/>
      <c r="M366" s="37"/>
      <c r="N366" s="36"/>
      <c r="O366" s="38"/>
    </row>
    <row r="367" ht="15.75" customHeight="1">
      <c r="A367" s="23"/>
      <c r="B367" s="23"/>
      <c r="C367" s="23"/>
      <c r="D367" s="23"/>
      <c r="E367" s="23"/>
      <c r="F367" s="23"/>
      <c r="G367" s="23"/>
      <c r="H367" s="21"/>
      <c r="I367" s="21"/>
      <c r="J367" s="23"/>
      <c r="K367" s="23"/>
      <c r="L367" s="23"/>
      <c r="M367" s="37"/>
      <c r="N367" s="36"/>
      <c r="O367" s="38"/>
    </row>
    <row r="368" ht="15.75" customHeight="1">
      <c r="A368" s="23"/>
      <c r="B368" s="23"/>
      <c r="C368" s="23"/>
      <c r="D368" s="23"/>
      <c r="E368" s="23"/>
      <c r="F368" s="23"/>
      <c r="G368" s="23"/>
      <c r="H368" s="21"/>
      <c r="I368" s="21"/>
      <c r="J368" s="23"/>
      <c r="K368" s="23"/>
      <c r="L368" s="23"/>
      <c r="M368" s="37"/>
      <c r="N368" s="36"/>
      <c r="O368" s="38"/>
    </row>
    <row r="369" ht="15.75" customHeight="1">
      <c r="A369" s="23"/>
      <c r="B369" s="23"/>
      <c r="C369" s="23"/>
      <c r="D369" s="23"/>
      <c r="E369" s="23"/>
      <c r="F369" s="23"/>
      <c r="G369" s="23"/>
      <c r="H369" s="21"/>
      <c r="I369" s="21"/>
      <c r="J369" s="23"/>
      <c r="K369" s="23"/>
      <c r="L369" s="23"/>
      <c r="M369" s="37"/>
      <c r="N369" s="36"/>
      <c r="O369" s="38"/>
    </row>
    <row r="370" ht="15.75" customHeight="1">
      <c r="A370" s="23"/>
      <c r="B370" s="23"/>
      <c r="C370" s="23"/>
      <c r="D370" s="23"/>
      <c r="E370" s="23"/>
      <c r="F370" s="23"/>
      <c r="G370" s="23"/>
      <c r="H370" s="21"/>
      <c r="I370" s="21"/>
      <c r="J370" s="23"/>
      <c r="K370" s="23"/>
      <c r="L370" s="23"/>
      <c r="M370" s="37"/>
      <c r="N370" s="36"/>
      <c r="O370" s="38"/>
    </row>
    <row r="371" ht="15.75" customHeight="1">
      <c r="A371" s="23"/>
      <c r="B371" s="23"/>
      <c r="C371" s="23"/>
      <c r="D371" s="23"/>
      <c r="E371" s="23"/>
      <c r="F371" s="23"/>
      <c r="G371" s="23"/>
      <c r="H371" s="21"/>
      <c r="I371" s="21"/>
      <c r="J371" s="23"/>
      <c r="K371" s="23"/>
      <c r="L371" s="23"/>
      <c r="M371" s="37"/>
      <c r="N371" s="36"/>
      <c r="O371" s="38"/>
    </row>
    <row r="372" ht="15.75" customHeight="1">
      <c r="A372" s="23"/>
      <c r="B372" s="23"/>
      <c r="C372" s="23"/>
      <c r="D372" s="23"/>
      <c r="E372" s="23"/>
      <c r="F372" s="23"/>
      <c r="G372" s="23"/>
      <c r="H372" s="21"/>
      <c r="I372" s="21"/>
      <c r="J372" s="23"/>
      <c r="K372" s="23"/>
      <c r="L372" s="23"/>
      <c r="M372" s="37"/>
      <c r="N372" s="36"/>
      <c r="O372" s="38"/>
    </row>
    <row r="373" ht="15.75" customHeight="1">
      <c r="A373" s="23"/>
      <c r="B373" s="23"/>
      <c r="C373" s="23"/>
      <c r="D373" s="23"/>
      <c r="E373" s="23"/>
      <c r="F373" s="23"/>
      <c r="G373" s="23"/>
      <c r="H373" s="21"/>
      <c r="I373" s="21"/>
      <c r="J373" s="23"/>
      <c r="K373" s="23"/>
      <c r="L373" s="23"/>
      <c r="M373" s="37"/>
      <c r="N373" s="36"/>
      <c r="O373" s="38"/>
    </row>
    <row r="374" ht="15.75" customHeight="1">
      <c r="A374" s="23"/>
      <c r="B374" s="23"/>
      <c r="C374" s="23"/>
      <c r="D374" s="23"/>
      <c r="E374" s="23"/>
      <c r="F374" s="23"/>
      <c r="G374" s="23"/>
      <c r="H374" s="21"/>
      <c r="I374" s="21"/>
      <c r="J374" s="23"/>
      <c r="K374" s="23"/>
      <c r="L374" s="23"/>
      <c r="M374" s="37"/>
      <c r="N374" s="36"/>
      <c r="O374" s="38"/>
    </row>
    <row r="375" ht="15.75" customHeight="1">
      <c r="A375" s="23"/>
      <c r="B375" s="23"/>
      <c r="C375" s="23"/>
      <c r="D375" s="23"/>
      <c r="E375" s="23"/>
      <c r="F375" s="23"/>
      <c r="G375" s="23"/>
      <c r="H375" s="21"/>
      <c r="I375" s="21"/>
      <c r="J375" s="23"/>
      <c r="K375" s="23"/>
      <c r="L375" s="23"/>
      <c r="M375" s="37"/>
      <c r="N375" s="36"/>
      <c r="O375" s="38"/>
    </row>
    <row r="376" ht="15.75" customHeight="1">
      <c r="A376" s="23"/>
      <c r="B376" s="23"/>
      <c r="C376" s="23"/>
      <c r="D376" s="23"/>
      <c r="E376" s="23"/>
      <c r="F376" s="23"/>
      <c r="G376" s="23"/>
      <c r="H376" s="21"/>
      <c r="I376" s="21"/>
      <c r="J376" s="23"/>
      <c r="K376" s="23"/>
      <c r="L376" s="23"/>
      <c r="M376" s="37"/>
      <c r="N376" s="36"/>
      <c r="O376" s="38"/>
    </row>
    <row r="377" ht="15.75" customHeight="1">
      <c r="A377" s="23"/>
      <c r="B377" s="23"/>
      <c r="C377" s="23"/>
      <c r="D377" s="23"/>
      <c r="E377" s="23"/>
      <c r="F377" s="23"/>
      <c r="G377" s="23"/>
      <c r="H377" s="21"/>
      <c r="I377" s="21"/>
      <c r="J377" s="23"/>
      <c r="K377" s="23"/>
      <c r="L377" s="23"/>
      <c r="M377" s="37"/>
      <c r="N377" s="36"/>
      <c r="O377" s="38"/>
    </row>
    <row r="378" ht="15.75" customHeight="1">
      <c r="A378" s="23"/>
      <c r="B378" s="23"/>
      <c r="C378" s="23"/>
      <c r="D378" s="23"/>
      <c r="E378" s="23"/>
      <c r="F378" s="23"/>
      <c r="G378" s="23"/>
      <c r="H378" s="21"/>
      <c r="I378" s="21"/>
      <c r="J378" s="23"/>
      <c r="K378" s="23"/>
      <c r="L378" s="23"/>
      <c r="M378" s="37"/>
      <c r="N378" s="36"/>
      <c r="O378" s="38"/>
    </row>
    <row r="379" ht="15.75" customHeight="1">
      <c r="A379" s="23"/>
      <c r="B379" s="23"/>
      <c r="C379" s="23"/>
      <c r="D379" s="23"/>
      <c r="E379" s="23"/>
      <c r="F379" s="23"/>
      <c r="G379" s="23"/>
      <c r="H379" s="21"/>
      <c r="I379" s="21"/>
      <c r="J379" s="23"/>
      <c r="K379" s="23"/>
      <c r="L379" s="23"/>
      <c r="M379" s="37"/>
      <c r="N379" s="36"/>
      <c r="O379" s="38"/>
    </row>
    <row r="380" ht="15.75" customHeight="1">
      <c r="A380" s="23"/>
      <c r="B380" s="23"/>
      <c r="C380" s="23"/>
      <c r="D380" s="23"/>
      <c r="E380" s="23"/>
      <c r="F380" s="23"/>
      <c r="G380" s="23"/>
      <c r="H380" s="21"/>
      <c r="I380" s="21"/>
      <c r="J380" s="23"/>
      <c r="K380" s="23"/>
      <c r="L380" s="23"/>
      <c r="M380" s="37"/>
      <c r="N380" s="36"/>
      <c r="O380" s="38"/>
    </row>
    <row r="381" ht="15.75" customHeight="1">
      <c r="A381" s="23"/>
      <c r="B381" s="23"/>
      <c r="C381" s="23"/>
      <c r="D381" s="23"/>
      <c r="E381" s="23"/>
      <c r="F381" s="23"/>
      <c r="G381" s="23"/>
      <c r="H381" s="21"/>
      <c r="I381" s="21"/>
      <c r="J381" s="23"/>
      <c r="K381" s="23"/>
      <c r="L381" s="23"/>
      <c r="M381" s="37"/>
      <c r="N381" s="36"/>
      <c r="O381" s="38"/>
    </row>
    <row r="382" ht="15.75" customHeight="1">
      <c r="A382" s="23"/>
      <c r="B382" s="23"/>
      <c r="C382" s="23"/>
      <c r="D382" s="23"/>
      <c r="E382" s="23"/>
      <c r="F382" s="23"/>
      <c r="G382" s="23"/>
      <c r="H382" s="21"/>
      <c r="I382" s="21"/>
      <c r="J382" s="23"/>
      <c r="K382" s="23"/>
      <c r="L382" s="23"/>
      <c r="M382" s="37"/>
      <c r="N382" s="36"/>
      <c r="O382" s="38"/>
    </row>
    <row r="383" ht="15.75" customHeight="1">
      <c r="A383" s="23"/>
      <c r="B383" s="23"/>
      <c r="C383" s="23"/>
      <c r="D383" s="23"/>
      <c r="E383" s="23"/>
      <c r="F383" s="23"/>
      <c r="G383" s="23"/>
      <c r="H383" s="21"/>
      <c r="I383" s="21"/>
      <c r="J383" s="23"/>
      <c r="K383" s="23"/>
      <c r="L383" s="23"/>
      <c r="M383" s="37"/>
      <c r="N383" s="36"/>
      <c r="O383" s="38"/>
    </row>
    <row r="384" ht="15.75" customHeight="1">
      <c r="A384" s="23"/>
      <c r="B384" s="23"/>
      <c r="C384" s="23"/>
      <c r="D384" s="23"/>
      <c r="E384" s="23"/>
      <c r="F384" s="23"/>
      <c r="G384" s="23"/>
      <c r="H384" s="21"/>
      <c r="I384" s="21"/>
      <c r="J384" s="23"/>
      <c r="K384" s="23"/>
      <c r="L384" s="23"/>
      <c r="M384" s="37"/>
      <c r="N384" s="36"/>
      <c r="O384" s="38"/>
    </row>
    <row r="385" ht="15.75" customHeight="1">
      <c r="A385" s="23"/>
      <c r="B385" s="23"/>
      <c r="C385" s="23"/>
      <c r="D385" s="23"/>
      <c r="E385" s="23"/>
      <c r="F385" s="23"/>
      <c r="G385" s="23"/>
      <c r="H385" s="21"/>
      <c r="I385" s="21"/>
      <c r="J385" s="23"/>
      <c r="K385" s="23"/>
      <c r="L385" s="23"/>
      <c r="M385" s="37"/>
      <c r="N385" s="36"/>
      <c r="O385" s="38"/>
    </row>
    <row r="386" ht="15.75" customHeight="1">
      <c r="A386" s="23"/>
      <c r="B386" s="23"/>
      <c r="C386" s="23"/>
      <c r="D386" s="23"/>
      <c r="E386" s="23"/>
      <c r="F386" s="23"/>
      <c r="G386" s="23"/>
      <c r="H386" s="21"/>
      <c r="I386" s="21"/>
      <c r="J386" s="23"/>
      <c r="K386" s="23"/>
      <c r="L386" s="23"/>
      <c r="M386" s="37"/>
      <c r="N386" s="36"/>
      <c r="O386" s="38"/>
    </row>
    <row r="387" ht="15.75" customHeight="1">
      <c r="A387" s="23"/>
      <c r="B387" s="23"/>
      <c r="C387" s="23"/>
      <c r="D387" s="23"/>
      <c r="E387" s="23"/>
      <c r="F387" s="23"/>
      <c r="G387" s="23"/>
      <c r="H387" s="21"/>
      <c r="I387" s="21"/>
      <c r="J387" s="23"/>
      <c r="K387" s="23"/>
      <c r="L387" s="23"/>
      <c r="M387" s="37"/>
      <c r="N387" s="36"/>
      <c r="O387" s="38"/>
    </row>
    <row r="388" ht="15.75" customHeight="1">
      <c r="A388" s="23"/>
      <c r="B388" s="23"/>
      <c r="C388" s="23"/>
      <c r="D388" s="23"/>
      <c r="E388" s="23"/>
      <c r="F388" s="23"/>
      <c r="G388" s="23"/>
      <c r="H388" s="21"/>
      <c r="I388" s="21"/>
      <c r="J388" s="23"/>
      <c r="K388" s="23"/>
      <c r="L388" s="23"/>
      <c r="M388" s="37"/>
      <c r="N388" s="36"/>
      <c r="O388" s="38"/>
    </row>
    <row r="389" ht="15.75" customHeight="1">
      <c r="A389" s="23"/>
      <c r="B389" s="23"/>
      <c r="C389" s="23"/>
      <c r="D389" s="23"/>
      <c r="E389" s="23"/>
      <c r="F389" s="23"/>
      <c r="G389" s="23"/>
      <c r="H389" s="21"/>
      <c r="I389" s="21"/>
      <c r="J389" s="23"/>
      <c r="K389" s="23"/>
      <c r="L389" s="23"/>
      <c r="M389" s="37"/>
      <c r="N389" s="36"/>
      <c r="O389" s="38"/>
    </row>
    <row r="390" ht="15.75" customHeight="1">
      <c r="A390" s="23"/>
      <c r="B390" s="23"/>
      <c r="C390" s="23"/>
      <c r="D390" s="23"/>
      <c r="E390" s="23"/>
      <c r="F390" s="23"/>
      <c r="G390" s="23"/>
      <c r="H390" s="21"/>
      <c r="I390" s="21"/>
      <c r="J390" s="23"/>
      <c r="K390" s="23"/>
      <c r="L390" s="23"/>
      <c r="M390" s="37"/>
      <c r="N390" s="36"/>
      <c r="O390" s="38"/>
    </row>
    <row r="391" ht="15.75" customHeight="1">
      <c r="A391" s="23"/>
      <c r="B391" s="23"/>
      <c r="C391" s="23"/>
      <c r="D391" s="23"/>
      <c r="E391" s="23"/>
      <c r="F391" s="23"/>
      <c r="G391" s="23"/>
      <c r="H391" s="21"/>
      <c r="I391" s="21"/>
      <c r="J391" s="23"/>
      <c r="K391" s="23"/>
      <c r="L391" s="23"/>
      <c r="M391" s="37"/>
      <c r="N391" s="36"/>
      <c r="O391" s="38"/>
    </row>
    <row r="392" ht="15.75" customHeight="1">
      <c r="A392" s="23"/>
      <c r="B392" s="23"/>
      <c r="C392" s="23"/>
      <c r="D392" s="23"/>
      <c r="E392" s="23"/>
      <c r="F392" s="23"/>
      <c r="G392" s="23"/>
      <c r="H392" s="21"/>
      <c r="I392" s="21"/>
      <c r="J392" s="23"/>
      <c r="K392" s="23"/>
      <c r="L392" s="23"/>
      <c r="M392" s="37"/>
      <c r="N392" s="36"/>
      <c r="O392" s="38"/>
    </row>
    <row r="393" ht="15.75" customHeight="1">
      <c r="A393" s="23"/>
      <c r="B393" s="23"/>
      <c r="C393" s="23"/>
      <c r="D393" s="23"/>
      <c r="E393" s="23"/>
      <c r="F393" s="23"/>
      <c r="G393" s="23"/>
      <c r="H393" s="21"/>
      <c r="I393" s="21"/>
      <c r="J393" s="23"/>
      <c r="K393" s="23"/>
      <c r="L393" s="23"/>
      <c r="M393" s="37"/>
      <c r="N393" s="36"/>
      <c r="O393" s="38"/>
    </row>
    <row r="394" ht="15.75" customHeight="1">
      <c r="A394" s="23"/>
      <c r="B394" s="23"/>
      <c r="C394" s="23"/>
      <c r="D394" s="23"/>
      <c r="E394" s="23"/>
      <c r="F394" s="23"/>
      <c r="G394" s="23"/>
      <c r="H394" s="21"/>
      <c r="I394" s="21"/>
      <c r="J394" s="23"/>
      <c r="K394" s="23"/>
      <c r="L394" s="23"/>
      <c r="M394" s="37"/>
      <c r="N394" s="36"/>
      <c r="O394" s="38"/>
    </row>
    <row r="395" ht="15.75" customHeight="1">
      <c r="A395" s="23"/>
      <c r="B395" s="23"/>
      <c r="C395" s="23"/>
      <c r="D395" s="23"/>
      <c r="E395" s="23"/>
      <c r="F395" s="23"/>
      <c r="G395" s="23"/>
      <c r="H395" s="21"/>
      <c r="I395" s="21"/>
      <c r="J395" s="23"/>
      <c r="K395" s="23"/>
      <c r="L395" s="23"/>
      <c r="M395" s="37"/>
      <c r="N395" s="36"/>
      <c r="O395" s="38"/>
    </row>
    <row r="396" ht="15.75" customHeight="1">
      <c r="A396" s="23"/>
      <c r="B396" s="23"/>
      <c r="C396" s="23"/>
      <c r="D396" s="23"/>
      <c r="E396" s="23"/>
      <c r="F396" s="23"/>
      <c r="G396" s="23"/>
      <c r="H396" s="21"/>
      <c r="I396" s="21"/>
      <c r="J396" s="23"/>
      <c r="K396" s="23"/>
      <c r="L396" s="23"/>
      <c r="M396" s="37"/>
      <c r="N396" s="36"/>
      <c r="O396" s="38"/>
    </row>
    <row r="397" ht="15.75" customHeight="1">
      <c r="A397" s="23"/>
      <c r="B397" s="23"/>
      <c r="C397" s="23"/>
      <c r="D397" s="23"/>
      <c r="E397" s="23"/>
      <c r="F397" s="23"/>
      <c r="G397" s="23"/>
      <c r="H397" s="21"/>
      <c r="I397" s="21"/>
      <c r="J397" s="23"/>
      <c r="K397" s="23"/>
      <c r="L397" s="23"/>
      <c r="M397" s="37"/>
      <c r="N397" s="36"/>
      <c r="O397" s="38"/>
    </row>
    <row r="398" ht="15.75" customHeight="1">
      <c r="A398" s="23"/>
      <c r="B398" s="23"/>
      <c r="C398" s="23"/>
      <c r="D398" s="23"/>
      <c r="E398" s="23"/>
      <c r="F398" s="23"/>
      <c r="G398" s="23"/>
      <c r="H398" s="21"/>
      <c r="I398" s="21"/>
      <c r="J398" s="23"/>
      <c r="K398" s="23"/>
      <c r="L398" s="23"/>
      <c r="M398" s="37"/>
      <c r="N398" s="36"/>
      <c r="O398" s="38"/>
    </row>
    <row r="399" ht="15.75" customHeight="1">
      <c r="A399" s="23"/>
      <c r="B399" s="23"/>
      <c r="C399" s="23"/>
      <c r="D399" s="23"/>
      <c r="E399" s="23"/>
      <c r="F399" s="23"/>
      <c r="G399" s="23"/>
      <c r="H399" s="21"/>
      <c r="I399" s="21"/>
      <c r="J399" s="23"/>
      <c r="K399" s="23"/>
      <c r="L399" s="23"/>
      <c r="M399" s="37"/>
      <c r="N399" s="36"/>
      <c r="O399" s="38"/>
    </row>
    <row r="400" ht="15.75" customHeight="1">
      <c r="A400" s="23"/>
      <c r="B400" s="23"/>
      <c r="C400" s="23"/>
      <c r="D400" s="23"/>
      <c r="E400" s="23"/>
      <c r="F400" s="23"/>
      <c r="G400" s="23"/>
      <c r="H400" s="21"/>
      <c r="I400" s="21"/>
      <c r="J400" s="23"/>
      <c r="K400" s="23"/>
      <c r="L400" s="23"/>
      <c r="M400" s="37"/>
      <c r="N400" s="36"/>
      <c r="O400" s="38"/>
    </row>
    <row r="401" ht="15.75" customHeight="1">
      <c r="A401" s="23"/>
      <c r="B401" s="23"/>
      <c r="C401" s="23"/>
      <c r="D401" s="23"/>
      <c r="E401" s="23"/>
      <c r="F401" s="23"/>
      <c r="G401" s="23"/>
      <c r="H401" s="21"/>
      <c r="I401" s="21"/>
      <c r="J401" s="23"/>
      <c r="K401" s="23"/>
      <c r="L401" s="23"/>
      <c r="M401" s="37"/>
      <c r="N401" s="36"/>
      <c r="O401" s="38"/>
    </row>
    <row r="402" ht="15.75" customHeight="1">
      <c r="A402" s="23"/>
      <c r="B402" s="23"/>
      <c r="C402" s="23"/>
      <c r="D402" s="23"/>
      <c r="E402" s="23"/>
      <c r="F402" s="23"/>
      <c r="G402" s="23"/>
      <c r="H402" s="21"/>
      <c r="I402" s="21"/>
      <c r="J402" s="23"/>
      <c r="K402" s="23"/>
      <c r="L402" s="23"/>
      <c r="M402" s="37"/>
      <c r="N402" s="36"/>
      <c r="O402" s="38"/>
    </row>
    <row r="403" ht="15.75" customHeight="1">
      <c r="A403" s="23"/>
      <c r="B403" s="23"/>
      <c r="C403" s="23"/>
      <c r="D403" s="23"/>
      <c r="E403" s="23"/>
      <c r="F403" s="23"/>
      <c r="G403" s="23"/>
      <c r="H403" s="21"/>
      <c r="I403" s="21"/>
      <c r="J403" s="23"/>
      <c r="K403" s="23"/>
      <c r="L403" s="23"/>
      <c r="M403" s="37"/>
      <c r="N403" s="36"/>
      <c r="O403" s="38"/>
    </row>
    <row r="404" ht="15.75" customHeight="1">
      <c r="A404" s="23"/>
      <c r="B404" s="23"/>
      <c r="C404" s="23"/>
      <c r="D404" s="23"/>
      <c r="E404" s="23"/>
      <c r="F404" s="23"/>
      <c r="G404" s="23"/>
      <c r="H404" s="21"/>
      <c r="I404" s="21"/>
      <c r="J404" s="23"/>
      <c r="K404" s="23"/>
      <c r="L404" s="23"/>
      <c r="M404" s="37"/>
      <c r="N404" s="36"/>
      <c r="O404" s="38"/>
    </row>
    <row r="405" ht="15.75" customHeight="1">
      <c r="A405" s="23"/>
      <c r="B405" s="23"/>
      <c r="C405" s="23"/>
      <c r="D405" s="23"/>
      <c r="E405" s="23"/>
      <c r="F405" s="23"/>
      <c r="G405" s="23"/>
      <c r="H405" s="21"/>
      <c r="I405" s="21"/>
      <c r="J405" s="23"/>
      <c r="K405" s="23"/>
      <c r="L405" s="23"/>
      <c r="M405" s="37"/>
      <c r="N405" s="36"/>
      <c r="O405" s="38"/>
    </row>
    <row r="406" ht="15.75" customHeight="1">
      <c r="A406" s="23"/>
      <c r="B406" s="23"/>
      <c r="C406" s="23"/>
      <c r="D406" s="23"/>
      <c r="E406" s="23"/>
      <c r="F406" s="23"/>
      <c r="G406" s="23"/>
      <c r="H406" s="21"/>
      <c r="I406" s="21"/>
      <c r="J406" s="23"/>
      <c r="K406" s="23"/>
      <c r="L406" s="23"/>
      <c r="M406" s="37"/>
      <c r="N406" s="36"/>
      <c r="O406" s="38"/>
    </row>
    <row r="407" ht="15.75" customHeight="1">
      <c r="A407" s="23"/>
      <c r="B407" s="23"/>
      <c r="C407" s="23"/>
      <c r="D407" s="23"/>
      <c r="E407" s="23"/>
      <c r="F407" s="23"/>
      <c r="G407" s="23"/>
      <c r="H407" s="21"/>
      <c r="I407" s="21"/>
      <c r="J407" s="23"/>
      <c r="K407" s="23"/>
      <c r="L407" s="23"/>
      <c r="M407" s="37"/>
      <c r="N407" s="36"/>
      <c r="O407" s="38"/>
    </row>
    <row r="408" ht="15.75" customHeight="1">
      <c r="A408" s="23"/>
      <c r="B408" s="23"/>
      <c r="C408" s="23"/>
      <c r="D408" s="23"/>
      <c r="E408" s="23"/>
      <c r="F408" s="23"/>
      <c r="G408" s="23"/>
      <c r="H408" s="21"/>
      <c r="I408" s="21"/>
      <c r="J408" s="23"/>
      <c r="K408" s="23"/>
      <c r="L408" s="23"/>
      <c r="M408" s="37"/>
      <c r="N408" s="36"/>
      <c r="O408" s="38"/>
    </row>
    <row r="409" ht="15.75" customHeight="1">
      <c r="A409" s="23"/>
      <c r="B409" s="23"/>
      <c r="C409" s="23"/>
      <c r="D409" s="23"/>
      <c r="E409" s="23"/>
      <c r="F409" s="23"/>
      <c r="G409" s="23"/>
      <c r="H409" s="21"/>
      <c r="I409" s="21"/>
      <c r="J409" s="23"/>
      <c r="K409" s="23"/>
      <c r="L409" s="23"/>
      <c r="M409" s="37"/>
      <c r="N409" s="36"/>
      <c r="O409" s="38"/>
    </row>
    <row r="410" ht="15.75" customHeight="1">
      <c r="A410" s="23"/>
      <c r="B410" s="23"/>
      <c r="C410" s="23"/>
      <c r="D410" s="23"/>
      <c r="E410" s="23"/>
      <c r="F410" s="23"/>
      <c r="G410" s="23"/>
      <c r="H410" s="21"/>
      <c r="I410" s="21"/>
      <c r="J410" s="23"/>
      <c r="K410" s="23"/>
      <c r="L410" s="23"/>
      <c r="M410" s="37"/>
      <c r="N410" s="36"/>
      <c r="O410" s="38"/>
    </row>
    <row r="411" ht="15.75" customHeight="1">
      <c r="A411" s="23"/>
      <c r="B411" s="23"/>
      <c r="C411" s="23"/>
      <c r="D411" s="23"/>
      <c r="E411" s="23"/>
      <c r="F411" s="23"/>
      <c r="G411" s="23"/>
      <c r="H411" s="21"/>
      <c r="I411" s="21"/>
      <c r="J411" s="23"/>
      <c r="K411" s="23"/>
      <c r="L411" s="23"/>
      <c r="M411" s="37"/>
      <c r="N411" s="36"/>
      <c r="O411" s="38"/>
    </row>
    <row r="412" ht="15.75" customHeight="1">
      <c r="A412" s="23"/>
      <c r="B412" s="23"/>
      <c r="C412" s="23"/>
      <c r="D412" s="23"/>
      <c r="E412" s="23"/>
      <c r="F412" s="23"/>
      <c r="G412" s="23"/>
      <c r="H412" s="21"/>
      <c r="I412" s="21"/>
      <c r="J412" s="23"/>
      <c r="K412" s="23"/>
      <c r="L412" s="23"/>
      <c r="M412" s="37"/>
      <c r="N412" s="36"/>
      <c r="O412" s="38"/>
    </row>
    <row r="413" ht="15.75" customHeight="1">
      <c r="A413" s="23"/>
      <c r="B413" s="23"/>
      <c r="C413" s="23"/>
      <c r="D413" s="23"/>
      <c r="E413" s="23"/>
      <c r="F413" s="23"/>
      <c r="G413" s="23"/>
      <c r="H413" s="21"/>
      <c r="I413" s="21"/>
      <c r="J413" s="23"/>
      <c r="K413" s="23"/>
      <c r="L413" s="23"/>
      <c r="M413" s="37"/>
      <c r="N413" s="36"/>
      <c r="O413" s="38"/>
    </row>
    <row r="414" ht="15.75" customHeight="1">
      <c r="A414" s="23"/>
      <c r="B414" s="23"/>
      <c r="C414" s="23"/>
      <c r="D414" s="23"/>
      <c r="E414" s="23"/>
      <c r="F414" s="23"/>
      <c r="G414" s="23"/>
      <c r="H414" s="21"/>
      <c r="I414" s="21"/>
      <c r="J414" s="23"/>
      <c r="K414" s="23"/>
      <c r="L414" s="23"/>
      <c r="M414" s="37"/>
      <c r="N414" s="36"/>
      <c r="O414" s="38"/>
    </row>
    <row r="415" ht="15.75" customHeight="1">
      <c r="A415" s="23"/>
      <c r="B415" s="23"/>
      <c r="C415" s="23"/>
      <c r="D415" s="23"/>
      <c r="E415" s="23"/>
      <c r="F415" s="23"/>
      <c r="G415" s="23"/>
      <c r="H415" s="21"/>
      <c r="I415" s="21"/>
      <c r="J415" s="23"/>
      <c r="K415" s="23"/>
      <c r="L415" s="23"/>
      <c r="M415" s="37"/>
      <c r="N415" s="36"/>
      <c r="O415" s="38"/>
    </row>
    <row r="416" ht="15.75" customHeight="1">
      <c r="A416" s="23"/>
      <c r="B416" s="23"/>
      <c r="C416" s="23"/>
      <c r="D416" s="23"/>
      <c r="E416" s="23"/>
      <c r="F416" s="23"/>
      <c r="G416" s="23"/>
      <c r="H416" s="21"/>
      <c r="I416" s="21"/>
      <c r="J416" s="23"/>
      <c r="K416" s="23"/>
      <c r="L416" s="23"/>
      <c r="M416" s="37"/>
      <c r="N416" s="36"/>
      <c r="O416" s="38"/>
    </row>
    <row r="417" ht="15.75" customHeight="1">
      <c r="A417" s="23"/>
      <c r="B417" s="23"/>
      <c r="C417" s="23"/>
      <c r="D417" s="23"/>
      <c r="E417" s="23"/>
      <c r="F417" s="23"/>
      <c r="G417" s="23"/>
      <c r="H417" s="21"/>
      <c r="I417" s="21"/>
      <c r="J417" s="23"/>
      <c r="K417" s="23"/>
      <c r="L417" s="23"/>
      <c r="M417" s="37"/>
      <c r="N417" s="36"/>
      <c r="O417" s="38"/>
    </row>
    <row r="418" ht="15.75" customHeight="1">
      <c r="A418" s="23"/>
      <c r="B418" s="23"/>
      <c r="C418" s="23"/>
      <c r="D418" s="23"/>
      <c r="E418" s="23"/>
      <c r="F418" s="23"/>
      <c r="G418" s="23"/>
      <c r="H418" s="21"/>
      <c r="I418" s="21"/>
      <c r="J418" s="23"/>
      <c r="K418" s="23"/>
      <c r="L418" s="23"/>
      <c r="M418" s="37"/>
      <c r="N418" s="36"/>
      <c r="O418" s="38"/>
    </row>
    <row r="419" ht="15.75" customHeight="1">
      <c r="A419" s="23"/>
      <c r="B419" s="23"/>
      <c r="C419" s="23"/>
      <c r="D419" s="23"/>
      <c r="E419" s="23"/>
      <c r="F419" s="23"/>
      <c r="G419" s="23"/>
      <c r="H419" s="21"/>
      <c r="I419" s="21"/>
      <c r="J419" s="23"/>
      <c r="K419" s="23"/>
      <c r="L419" s="23"/>
      <c r="M419" s="37"/>
      <c r="N419" s="36"/>
      <c r="O419" s="38"/>
    </row>
    <row r="420" ht="15.75" customHeight="1">
      <c r="A420" s="23"/>
      <c r="B420" s="23"/>
      <c r="C420" s="23"/>
      <c r="D420" s="23"/>
      <c r="E420" s="23"/>
      <c r="F420" s="23"/>
      <c r="G420" s="23"/>
      <c r="H420" s="21"/>
      <c r="I420" s="21"/>
      <c r="J420" s="23"/>
      <c r="K420" s="23"/>
      <c r="L420" s="23"/>
      <c r="M420" s="37"/>
      <c r="N420" s="36"/>
      <c r="O420" s="38"/>
    </row>
    <row r="421" ht="15.75" customHeight="1">
      <c r="A421" s="23"/>
      <c r="B421" s="23"/>
      <c r="C421" s="23"/>
      <c r="D421" s="23"/>
      <c r="E421" s="23"/>
      <c r="F421" s="23"/>
      <c r="G421" s="23"/>
      <c r="H421" s="21"/>
      <c r="I421" s="21"/>
      <c r="J421" s="23"/>
      <c r="K421" s="23"/>
      <c r="L421" s="23"/>
      <c r="M421" s="37"/>
      <c r="N421" s="36"/>
      <c r="O421" s="38"/>
    </row>
    <row r="422" ht="15.75" customHeight="1">
      <c r="A422" s="23"/>
      <c r="B422" s="23"/>
      <c r="C422" s="23"/>
      <c r="D422" s="23"/>
      <c r="E422" s="23"/>
      <c r="F422" s="23"/>
      <c r="G422" s="23"/>
      <c r="H422" s="21"/>
      <c r="I422" s="21"/>
      <c r="J422" s="23"/>
      <c r="K422" s="23"/>
      <c r="L422" s="23"/>
      <c r="M422" s="37"/>
      <c r="N422" s="36"/>
      <c r="O422" s="38"/>
    </row>
    <row r="423" ht="15.75" customHeight="1">
      <c r="A423" s="23"/>
      <c r="B423" s="23"/>
      <c r="C423" s="23"/>
      <c r="D423" s="23"/>
      <c r="E423" s="23"/>
      <c r="F423" s="23"/>
      <c r="G423" s="23"/>
      <c r="H423" s="21"/>
      <c r="I423" s="21"/>
      <c r="J423" s="23"/>
      <c r="K423" s="23"/>
      <c r="L423" s="23"/>
      <c r="M423" s="37"/>
      <c r="N423" s="36"/>
      <c r="O423" s="38"/>
    </row>
    <row r="424" ht="15.75" customHeight="1">
      <c r="A424" s="23"/>
      <c r="B424" s="23"/>
      <c r="C424" s="23"/>
      <c r="D424" s="23"/>
      <c r="E424" s="23"/>
      <c r="F424" s="23"/>
      <c r="G424" s="23"/>
      <c r="H424" s="21"/>
      <c r="I424" s="21"/>
      <c r="J424" s="23"/>
      <c r="K424" s="23"/>
      <c r="L424" s="23"/>
      <c r="M424" s="37"/>
      <c r="N424" s="36"/>
      <c r="O424" s="38"/>
    </row>
    <row r="425" ht="15.75" customHeight="1">
      <c r="A425" s="23"/>
      <c r="B425" s="23"/>
      <c r="C425" s="23"/>
      <c r="D425" s="23"/>
      <c r="E425" s="23"/>
      <c r="F425" s="23"/>
      <c r="G425" s="23"/>
      <c r="H425" s="21"/>
      <c r="I425" s="21"/>
      <c r="J425" s="23"/>
      <c r="K425" s="23"/>
      <c r="L425" s="23"/>
      <c r="M425" s="37"/>
      <c r="N425" s="36"/>
      <c r="O425" s="38"/>
    </row>
    <row r="426" ht="15.75" customHeight="1">
      <c r="A426" s="23"/>
      <c r="B426" s="23"/>
      <c r="C426" s="23"/>
      <c r="D426" s="23"/>
      <c r="E426" s="23"/>
      <c r="F426" s="23"/>
      <c r="G426" s="23"/>
      <c r="H426" s="21"/>
      <c r="I426" s="21"/>
      <c r="J426" s="23"/>
      <c r="K426" s="23"/>
      <c r="L426" s="23"/>
      <c r="M426" s="37"/>
      <c r="N426" s="36"/>
      <c r="O426" s="38"/>
    </row>
    <row r="427" ht="15.75" customHeight="1">
      <c r="A427" s="23"/>
      <c r="B427" s="23"/>
      <c r="C427" s="23"/>
      <c r="D427" s="23"/>
      <c r="E427" s="23"/>
      <c r="F427" s="23"/>
      <c r="G427" s="23"/>
      <c r="H427" s="21"/>
      <c r="I427" s="21"/>
      <c r="J427" s="23"/>
      <c r="K427" s="23"/>
      <c r="L427" s="23"/>
      <c r="M427" s="37"/>
      <c r="N427" s="36"/>
      <c r="O427" s="38"/>
    </row>
    <row r="428" ht="15.75" customHeight="1">
      <c r="A428" s="23"/>
      <c r="B428" s="23"/>
      <c r="C428" s="23"/>
      <c r="D428" s="23"/>
      <c r="E428" s="23"/>
      <c r="F428" s="23"/>
      <c r="G428" s="23"/>
      <c r="H428" s="21"/>
      <c r="I428" s="21"/>
      <c r="J428" s="23"/>
      <c r="K428" s="23"/>
      <c r="L428" s="23"/>
      <c r="M428" s="37"/>
      <c r="N428" s="36"/>
      <c r="O428" s="38"/>
    </row>
    <row r="429" ht="15.75" customHeight="1">
      <c r="A429" s="23"/>
      <c r="B429" s="23"/>
      <c r="C429" s="23"/>
      <c r="D429" s="23"/>
      <c r="E429" s="23"/>
      <c r="F429" s="23"/>
      <c r="G429" s="23"/>
      <c r="H429" s="21"/>
      <c r="I429" s="21"/>
      <c r="J429" s="23"/>
      <c r="K429" s="23"/>
      <c r="L429" s="23"/>
      <c r="M429" s="37"/>
      <c r="N429" s="36"/>
      <c r="O429" s="38"/>
    </row>
    <row r="430" ht="15.75" customHeight="1">
      <c r="A430" s="23"/>
      <c r="B430" s="23"/>
      <c r="C430" s="23"/>
      <c r="D430" s="23"/>
      <c r="E430" s="23"/>
      <c r="F430" s="23"/>
      <c r="G430" s="23"/>
      <c r="H430" s="21"/>
      <c r="I430" s="21"/>
      <c r="J430" s="23"/>
      <c r="K430" s="23"/>
      <c r="L430" s="23"/>
      <c r="M430" s="37"/>
      <c r="N430" s="36"/>
      <c r="O430" s="38"/>
    </row>
    <row r="431" ht="15.75" customHeight="1">
      <c r="A431" s="23"/>
      <c r="B431" s="23"/>
      <c r="C431" s="23"/>
      <c r="D431" s="23"/>
      <c r="E431" s="23"/>
      <c r="F431" s="23"/>
      <c r="G431" s="23"/>
      <c r="H431" s="21"/>
      <c r="I431" s="21"/>
      <c r="J431" s="23"/>
      <c r="K431" s="23"/>
      <c r="L431" s="23"/>
      <c r="M431" s="37"/>
      <c r="N431" s="36"/>
      <c r="O431" s="38"/>
    </row>
    <row r="432" ht="15.75" customHeight="1">
      <c r="A432" s="23"/>
      <c r="B432" s="23"/>
      <c r="C432" s="23"/>
      <c r="D432" s="23"/>
      <c r="E432" s="23"/>
      <c r="F432" s="23"/>
      <c r="G432" s="23"/>
      <c r="H432" s="21"/>
      <c r="I432" s="21"/>
      <c r="J432" s="23"/>
      <c r="K432" s="23"/>
      <c r="L432" s="23"/>
      <c r="M432" s="37"/>
      <c r="N432" s="36"/>
      <c r="O432" s="38"/>
    </row>
    <row r="433" ht="15.75" customHeight="1">
      <c r="A433" s="23"/>
      <c r="B433" s="23"/>
      <c r="C433" s="23"/>
      <c r="D433" s="23"/>
      <c r="E433" s="23"/>
      <c r="F433" s="23"/>
      <c r="G433" s="23"/>
      <c r="H433" s="21"/>
      <c r="I433" s="21"/>
      <c r="J433" s="23"/>
      <c r="K433" s="23"/>
      <c r="L433" s="23"/>
      <c r="M433" s="37"/>
      <c r="N433" s="36"/>
      <c r="O433" s="38"/>
    </row>
    <row r="434" ht="15.75" customHeight="1">
      <c r="A434" s="23"/>
      <c r="B434" s="23"/>
      <c r="C434" s="23"/>
      <c r="D434" s="23"/>
      <c r="E434" s="23"/>
      <c r="F434" s="23"/>
      <c r="G434" s="23"/>
      <c r="H434" s="21"/>
      <c r="I434" s="21"/>
      <c r="J434" s="23"/>
      <c r="K434" s="23"/>
      <c r="L434" s="23"/>
      <c r="M434" s="37"/>
      <c r="N434" s="36"/>
      <c r="O434" s="38"/>
    </row>
    <row r="435" ht="15.75" customHeight="1">
      <c r="A435" s="23"/>
      <c r="B435" s="23"/>
      <c r="C435" s="23"/>
      <c r="D435" s="23"/>
      <c r="E435" s="23"/>
      <c r="F435" s="23"/>
      <c r="G435" s="23"/>
      <c r="H435" s="21"/>
      <c r="I435" s="21"/>
      <c r="J435" s="23"/>
      <c r="K435" s="23"/>
      <c r="L435" s="23"/>
      <c r="M435" s="37"/>
      <c r="N435" s="36"/>
      <c r="O435" s="38"/>
    </row>
    <row r="436" ht="15.75" customHeight="1">
      <c r="A436" s="23"/>
      <c r="B436" s="23"/>
      <c r="C436" s="23"/>
      <c r="D436" s="23"/>
      <c r="E436" s="23"/>
      <c r="F436" s="23"/>
      <c r="G436" s="23"/>
      <c r="H436" s="21"/>
      <c r="I436" s="21"/>
      <c r="J436" s="23"/>
      <c r="K436" s="23"/>
      <c r="L436" s="23"/>
      <c r="M436" s="37"/>
      <c r="N436" s="36"/>
      <c r="O436" s="38"/>
    </row>
    <row r="437" ht="15.75" customHeight="1">
      <c r="A437" s="23"/>
      <c r="B437" s="23"/>
      <c r="C437" s="23"/>
      <c r="D437" s="23"/>
      <c r="E437" s="23"/>
      <c r="F437" s="23"/>
      <c r="G437" s="23"/>
      <c r="H437" s="21"/>
      <c r="I437" s="21"/>
      <c r="J437" s="23"/>
      <c r="K437" s="23"/>
      <c r="L437" s="23"/>
      <c r="M437" s="37"/>
      <c r="N437" s="36"/>
      <c r="O437" s="38"/>
    </row>
    <row r="438" ht="15.75" customHeight="1">
      <c r="A438" s="23"/>
      <c r="B438" s="23"/>
      <c r="C438" s="23"/>
      <c r="D438" s="23"/>
      <c r="E438" s="23"/>
      <c r="F438" s="23"/>
      <c r="G438" s="23"/>
      <c r="H438" s="21"/>
      <c r="I438" s="21"/>
      <c r="J438" s="23"/>
      <c r="K438" s="23"/>
      <c r="L438" s="23"/>
      <c r="M438" s="37"/>
      <c r="N438" s="36"/>
      <c r="O438" s="38"/>
    </row>
    <row r="439" ht="15.75" customHeight="1">
      <c r="A439" s="23"/>
      <c r="B439" s="23"/>
      <c r="C439" s="23"/>
      <c r="D439" s="23"/>
      <c r="E439" s="23"/>
      <c r="F439" s="23"/>
      <c r="G439" s="23"/>
      <c r="H439" s="21"/>
      <c r="I439" s="21"/>
      <c r="J439" s="23"/>
      <c r="K439" s="23"/>
      <c r="L439" s="23"/>
      <c r="M439" s="37"/>
      <c r="N439" s="36"/>
      <c r="O439" s="38"/>
    </row>
    <row r="440" ht="15.75" customHeight="1">
      <c r="A440" s="23"/>
      <c r="B440" s="23"/>
      <c r="C440" s="23"/>
      <c r="D440" s="23"/>
      <c r="E440" s="23"/>
      <c r="F440" s="23"/>
      <c r="G440" s="23"/>
      <c r="H440" s="21"/>
      <c r="I440" s="21"/>
      <c r="J440" s="23"/>
      <c r="K440" s="23"/>
      <c r="L440" s="23"/>
      <c r="M440" s="37"/>
      <c r="N440" s="36"/>
      <c r="O440" s="38"/>
    </row>
    <row r="441" ht="15.75" customHeight="1">
      <c r="A441" s="23"/>
      <c r="B441" s="23"/>
      <c r="C441" s="23"/>
      <c r="D441" s="23"/>
      <c r="E441" s="23"/>
      <c r="F441" s="23"/>
      <c r="G441" s="23"/>
      <c r="H441" s="21"/>
      <c r="I441" s="21"/>
      <c r="J441" s="23"/>
      <c r="K441" s="23"/>
      <c r="L441" s="23"/>
      <c r="M441" s="37"/>
      <c r="N441" s="36"/>
      <c r="O441" s="38"/>
    </row>
    <row r="442" ht="15.75" customHeight="1">
      <c r="A442" s="23"/>
      <c r="B442" s="23"/>
      <c r="C442" s="23"/>
      <c r="D442" s="23"/>
      <c r="E442" s="23"/>
      <c r="F442" s="23"/>
      <c r="G442" s="23"/>
      <c r="H442" s="21"/>
      <c r="I442" s="21"/>
      <c r="J442" s="23"/>
      <c r="K442" s="23"/>
      <c r="L442" s="23"/>
      <c r="M442" s="37"/>
      <c r="N442" s="36"/>
      <c r="O442" s="38"/>
    </row>
    <row r="443" ht="15.75" customHeight="1">
      <c r="A443" s="23"/>
      <c r="B443" s="23"/>
      <c r="C443" s="23"/>
      <c r="D443" s="23"/>
      <c r="E443" s="23"/>
      <c r="F443" s="23"/>
      <c r="G443" s="23"/>
      <c r="H443" s="21"/>
      <c r="I443" s="21"/>
      <c r="J443" s="23"/>
      <c r="K443" s="23"/>
      <c r="L443" s="23"/>
      <c r="M443" s="37"/>
      <c r="N443" s="36"/>
      <c r="O443" s="38"/>
    </row>
    <row r="444" ht="15.75" customHeight="1">
      <c r="A444" s="23"/>
      <c r="B444" s="23"/>
      <c r="C444" s="23"/>
      <c r="D444" s="23"/>
      <c r="E444" s="23"/>
      <c r="F444" s="23"/>
      <c r="G444" s="23"/>
      <c r="H444" s="21"/>
      <c r="I444" s="21"/>
      <c r="J444" s="23"/>
      <c r="K444" s="23"/>
      <c r="L444" s="23"/>
      <c r="M444" s="37"/>
      <c r="N444" s="36"/>
      <c r="O444" s="38"/>
    </row>
    <row r="445" ht="15.75" customHeight="1">
      <c r="A445" s="23"/>
      <c r="B445" s="23"/>
      <c r="C445" s="23"/>
      <c r="D445" s="23"/>
      <c r="E445" s="23"/>
      <c r="F445" s="23"/>
      <c r="G445" s="23"/>
      <c r="H445" s="21"/>
      <c r="I445" s="21"/>
      <c r="J445" s="23"/>
      <c r="K445" s="23"/>
      <c r="L445" s="23"/>
      <c r="M445" s="37"/>
      <c r="N445" s="36"/>
      <c r="O445" s="38"/>
    </row>
    <row r="446" ht="15.75" customHeight="1">
      <c r="A446" s="23"/>
      <c r="B446" s="23"/>
      <c r="C446" s="23"/>
      <c r="D446" s="23"/>
      <c r="E446" s="23"/>
      <c r="F446" s="23"/>
      <c r="G446" s="23"/>
      <c r="H446" s="21"/>
      <c r="I446" s="21"/>
      <c r="J446" s="23"/>
      <c r="K446" s="23"/>
      <c r="L446" s="23"/>
      <c r="M446" s="37"/>
      <c r="N446" s="36"/>
      <c r="O446" s="38"/>
    </row>
    <row r="447" ht="15.75" customHeight="1">
      <c r="A447" s="23"/>
      <c r="B447" s="23"/>
      <c r="C447" s="23"/>
      <c r="D447" s="23"/>
      <c r="E447" s="23"/>
      <c r="F447" s="23"/>
      <c r="G447" s="23"/>
      <c r="H447" s="21"/>
      <c r="I447" s="21"/>
      <c r="J447" s="23"/>
      <c r="K447" s="23"/>
      <c r="L447" s="23"/>
      <c r="M447" s="37"/>
      <c r="N447" s="36"/>
      <c r="O447" s="38"/>
    </row>
    <row r="448" ht="15.75" customHeight="1">
      <c r="A448" s="23"/>
      <c r="B448" s="23"/>
      <c r="C448" s="23"/>
      <c r="D448" s="23"/>
      <c r="E448" s="23"/>
      <c r="F448" s="23"/>
      <c r="G448" s="23"/>
      <c r="H448" s="21"/>
      <c r="I448" s="21"/>
      <c r="J448" s="23"/>
      <c r="K448" s="23"/>
      <c r="L448" s="23"/>
      <c r="M448" s="37"/>
      <c r="N448" s="36"/>
      <c r="O448" s="38"/>
    </row>
    <row r="449" ht="15.75" customHeight="1">
      <c r="A449" s="23"/>
      <c r="B449" s="23"/>
      <c r="C449" s="23"/>
      <c r="D449" s="23"/>
      <c r="E449" s="23"/>
      <c r="F449" s="23"/>
      <c r="G449" s="23"/>
      <c r="H449" s="21"/>
      <c r="I449" s="21"/>
      <c r="J449" s="23"/>
      <c r="K449" s="23"/>
      <c r="L449" s="23"/>
      <c r="M449" s="37"/>
      <c r="N449" s="36"/>
      <c r="O449" s="38"/>
    </row>
    <row r="450" ht="15.75" customHeight="1">
      <c r="A450" s="23"/>
      <c r="B450" s="23"/>
      <c r="C450" s="23"/>
      <c r="D450" s="23"/>
      <c r="E450" s="23"/>
      <c r="F450" s="23"/>
      <c r="G450" s="23"/>
      <c r="H450" s="21"/>
      <c r="I450" s="21"/>
      <c r="J450" s="23"/>
      <c r="K450" s="23"/>
      <c r="L450" s="23"/>
      <c r="M450" s="37"/>
      <c r="N450" s="36"/>
      <c r="O450" s="38"/>
    </row>
    <row r="451" ht="15.75" customHeight="1">
      <c r="A451" s="23"/>
      <c r="B451" s="23"/>
      <c r="C451" s="23"/>
      <c r="D451" s="23"/>
      <c r="E451" s="23"/>
      <c r="F451" s="23"/>
      <c r="G451" s="23"/>
      <c r="H451" s="21"/>
      <c r="I451" s="21"/>
      <c r="J451" s="23"/>
      <c r="K451" s="23"/>
      <c r="L451" s="23"/>
      <c r="M451" s="37"/>
      <c r="N451" s="36"/>
      <c r="O451" s="38"/>
    </row>
    <row r="452" ht="15.75" customHeight="1">
      <c r="A452" s="23"/>
      <c r="B452" s="23"/>
      <c r="C452" s="23"/>
      <c r="D452" s="23"/>
      <c r="E452" s="23"/>
      <c r="F452" s="23"/>
      <c r="G452" s="23"/>
      <c r="H452" s="21"/>
      <c r="I452" s="21"/>
      <c r="J452" s="23"/>
      <c r="K452" s="23"/>
      <c r="L452" s="23"/>
      <c r="M452" s="37"/>
      <c r="N452" s="36"/>
      <c r="O452" s="38"/>
    </row>
    <row r="453" ht="15.75" customHeight="1">
      <c r="A453" s="23"/>
      <c r="B453" s="23"/>
      <c r="C453" s="23"/>
      <c r="D453" s="23"/>
      <c r="E453" s="23"/>
      <c r="F453" s="23"/>
      <c r="G453" s="23"/>
      <c r="H453" s="21"/>
      <c r="I453" s="21"/>
      <c r="J453" s="23"/>
      <c r="K453" s="23"/>
      <c r="L453" s="23"/>
      <c r="M453" s="37"/>
      <c r="N453" s="36"/>
      <c r="O453" s="38"/>
    </row>
    <row r="454" ht="15.75" customHeight="1">
      <c r="A454" s="23"/>
      <c r="B454" s="23"/>
      <c r="C454" s="23"/>
      <c r="D454" s="23"/>
      <c r="E454" s="23"/>
      <c r="F454" s="23"/>
      <c r="G454" s="23"/>
      <c r="H454" s="21"/>
      <c r="I454" s="21"/>
      <c r="J454" s="23"/>
      <c r="K454" s="23"/>
      <c r="L454" s="23"/>
      <c r="M454" s="37"/>
      <c r="N454" s="36"/>
      <c r="O454" s="38"/>
    </row>
    <row r="455" ht="15.75" customHeight="1">
      <c r="A455" s="23"/>
      <c r="B455" s="23"/>
      <c r="C455" s="23"/>
      <c r="D455" s="23"/>
      <c r="E455" s="23"/>
      <c r="F455" s="23"/>
      <c r="G455" s="23"/>
      <c r="H455" s="21"/>
      <c r="I455" s="21"/>
      <c r="J455" s="23"/>
      <c r="K455" s="23"/>
      <c r="L455" s="23"/>
      <c r="M455" s="37"/>
      <c r="N455" s="36"/>
      <c r="O455" s="38"/>
    </row>
    <row r="456" ht="15.75" customHeight="1">
      <c r="A456" s="23"/>
      <c r="B456" s="23"/>
      <c r="C456" s="23"/>
      <c r="D456" s="23"/>
      <c r="E456" s="23"/>
      <c r="F456" s="23"/>
      <c r="G456" s="23"/>
      <c r="H456" s="21"/>
      <c r="I456" s="21"/>
      <c r="J456" s="23"/>
      <c r="K456" s="23"/>
      <c r="L456" s="23"/>
      <c r="M456" s="37"/>
      <c r="N456" s="36"/>
      <c r="O456" s="38"/>
    </row>
    <row r="457" ht="15.75" customHeight="1">
      <c r="A457" s="23"/>
      <c r="B457" s="23"/>
      <c r="C457" s="23"/>
      <c r="D457" s="23"/>
      <c r="E457" s="23"/>
      <c r="F457" s="23"/>
      <c r="G457" s="23"/>
      <c r="H457" s="21"/>
      <c r="I457" s="21"/>
      <c r="J457" s="23"/>
      <c r="K457" s="23"/>
      <c r="L457" s="23"/>
      <c r="M457" s="37"/>
      <c r="N457" s="36"/>
      <c r="O457" s="38"/>
    </row>
    <row r="458" ht="15.75" customHeight="1">
      <c r="A458" s="23"/>
      <c r="B458" s="23"/>
      <c r="C458" s="23"/>
      <c r="D458" s="23"/>
      <c r="E458" s="23"/>
      <c r="F458" s="23"/>
      <c r="G458" s="23"/>
      <c r="H458" s="21"/>
      <c r="I458" s="21"/>
      <c r="J458" s="23"/>
      <c r="K458" s="23"/>
      <c r="L458" s="23"/>
      <c r="M458" s="37"/>
      <c r="N458" s="36"/>
      <c r="O458" s="38"/>
    </row>
    <row r="459" ht="15.75" customHeight="1">
      <c r="A459" s="23"/>
      <c r="B459" s="23"/>
      <c r="C459" s="23"/>
      <c r="D459" s="23"/>
      <c r="E459" s="23"/>
      <c r="F459" s="23"/>
      <c r="G459" s="23"/>
      <c r="H459" s="21"/>
      <c r="I459" s="21"/>
      <c r="J459" s="23"/>
      <c r="K459" s="23"/>
      <c r="L459" s="23"/>
      <c r="M459" s="37"/>
      <c r="N459" s="36"/>
      <c r="O459" s="38"/>
    </row>
    <row r="460" ht="15.75" customHeight="1">
      <c r="A460" s="23"/>
      <c r="B460" s="23"/>
      <c r="C460" s="23"/>
      <c r="D460" s="23"/>
      <c r="E460" s="23"/>
      <c r="F460" s="23"/>
      <c r="G460" s="23"/>
      <c r="H460" s="21"/>
      <c r="I460" s="21"/>
      <c r="J460" s="23"/>
      <c r="K460" s="23"/>
      <c r="L460" s="23"/>
      <c r="M460" s="37"/>
      <c r="N460" s="36"/>
      <c r="O460" s="38"/>
    </row>
    <row r="461" ht="15.75" customHeight="1">
      <c r="A461" s="23"/>
      <c r="B461" s="23"/>
      <c r="C461" s="23"/>
      <c r="D461" s="23"/>
      <c r="E461" s="23"/>
      <c r="F461" s="23"/>
      <c r="G461" s="23"/>
      <c r="H461" s="21"/>
      <c r="I461" s="21"/>
      <c r="J461" s="23"/>
      <c r="K461" s="23"/>
      <c r="L461" s="23"/>
      <c r="M461" s="37"/>
      <c r="N461" s="36"/>
      <c r="O461" s="38"/>
    </row>
    <row r="462" ht="15.75" customHeight="1">
      <c r="A462" s="23"/>
      <c r="B462" s="23"/>
      <c r="C462" s="23"/>
      <c r="D462" s="23"/>
      <c r="E462" s="23"/>
      <c r="F462" s="23"/>
      <c r="G462" s="23"/>
      <c r="H462" s="21"/>
      <c r="I462" s="21"/>
      <c r="J462" s="23"/>
      <c r="K462" s="23"/>
      <c r="L462" s="23"/>
      <c r="M462" s="37"/>
      <c r="N462" s="36"/>
      <c r="O462" s="38"/>
    </row>
    <row r="463" ht="15.75" customHeight="1">
      <c r="A463" s="23"/>
      <c r="B463" s="23"/>
      <c r="C463" s="23"/>
      <c r="D463" s="23"/>
      <c r="E463" s="23"/>
      <c r="F463" s="23"/>
      <c r="G463" s="23"/>
      <c r="H463" s="21"/>
      <c r="I463" s="21"/>
      <c r="J463" s="23"/>
      <c r="K463" s="23"/>
      <c r="L463" s="23"/>
      <c r="M463" s="37"/>
      <c r="N463" s="36"/>
      <c r="O463" s="38"/>
    </row>
    <row r="464" ht="15.75" customHeight="1">
      <c r="A464" s="23"/>
      <c r="B464" s="23"/>
      <c r="C464" s="23"/>
      <c r="D464" s="23"/>
      <c r="E464" s="23"/>
      <c r="F464" s="23"/>
      <c r="G464" s="23"/>
      <c r="H464" s="21"/>
      <c r="I464" s="21"/>
      <c r="J464" s="23"/>
      <c r="K464" s="23"/>
      <c r="L464" s="23"/>
      <c r="M464" s="37"/>
      <c r="N464" s="36"/>
      <c r="O464" s="38"/>
    </row>
    <row r="465" ht="15.75" customHeight="1">
      <c r="A465" s="23"/>
      <c r="B465" s="23"/>
      <c r="C465" s="23"/>
      <c r="D465" s="23"/>
      <c r="E465" s="23"/>
      <c r="F465" s="23"/>
      <c r="G465" s="23"/>
      <c r="H465" s="21"/>
      <c r="I465" s="21"/>
      <c r="J465" s="23"/>
      <c r="K465" s="23"/>
      <c r="L465" s="23"/>
      <c r="M465" s="37"/>
      <c r="N465" s="36"/>
      <c r="O465" s="38"/>
    </row>
    <row r="466" ht="15.75" customHeight="1">
      <c r="A466" s="23"/>
      <c r="B466" s="23"/>
      <c r="C466" s="23"/>
      <c r="D466" s="23"/>
      <c r="E466" s="23"/>
      <c r="F466" s="23"/>
      <c r="G466" s="23"/>
      <c r="H466" s="21"/>
      <c r="I466" s="21"/>
      <c r="J466" s="23"/>
      <c r="K466" s="23"/>
      <c r="L466" s="23"/>
      <c r="M466" s="37"/>
      <c r="N466" s="36"/>
      <c r="O466" s="38"/>
    </row>
    <row r="467" ht="15.75" customHeight="1">
      <c r="A467" s="23"/>
      <c r="B467" s="23"/>
      <c r="C467" s="23"/>
      <c r="D467" s="23"/>
      <c r="E467" s="23"/>
      <c r="F467" s="23"/>
      <c r="G467" s="23"/>
      <c r="H467" s="21"/>
      <c r="I467" s="21"/>
      <c r="J467" s="23"/>
      <c r="K467" s="23"/>
      <c r="L467" s="23"/>
      <c r="M467" s="37"/>
      <c r="N467" s="36"/>
      <c r="O467" s="38"/>
    </row>
    <row r="468" ht="15.75" customHeight="1">
      <c r="A468" s="23"/>
      <c r="B468" s="23"/>
      <c r="C468" s="23"/>
      <c r="D468" s="23"/>
      <c r="E468" s="23"/>
      <c r="F468" s="23"/>
      <c r="G468" s="23"/>
      <c r="H468" s="21"/>
      <c r="I468" s="21"/>
      <c r="J468" s="23"/>
      <c r="K468" s="23"/>
      <c r="L468" s="23"/>
      <c r="M468" s="37"/>
      <c r="N468" s="36"/>
      <c r="O468" s="38"/>
    </row>
    <row r="469" ht="15.75" customHeight="1">
      <c r="A469" s="23"/>
      <c r="B469" s="23"/>
      <c r="C469" s="23"/>
      <c r="D469" s="23"/>
      <c r="E469" s="23"/>
      <c r="F469" s="23"/>
      <c r="G469" s="23"/>
      <c r="H469" s="21"/>
      <c r="I469" s="21"/>
      <c r="J469" s="23"/>
      <c r="K469" s="23"/>
      <c r="L469" s="23"/>
      <c r="M469" s="37"/>
      <c r="N469" s="36"/>
      <c r="O469" s="38"/>
    </row>
    <row r="470" ht="15.75" customHeight="1">
      <c r="A470" s="23"/>
      <c r="B470" s="23"/>
      <c r="C470" s="23"/>
      <c r="D470" s="23"/>
      <c r="E470" s="23"/>
      <c r="F470" s="23"/>
      <c r="G470" s="23"/>
      <c r="H470" s="21"/>
      <c r="I470" s="21"/>
      <c r="J470" s="23"/>
      <c r="K470" s="23"/>
      <c r="L470" s="23"/>
      <c r="M470" s="37"/>
      <c r="N470" s="36"/>
      <c r="O470" s="38"/>
    </row>
    <row r="471" ht="15.75" customHeight="1">
      <c r="A471" s="23"/>
      <c r="B471" s="23"/>
      <c r="C471" s="23"/>
      <c r="D471" s="23"/>
      <c r="E471" s="23"/>
      <c r="F471" s="23"/>
      <c r="G471" s="23"/>
      <c r="H471" s="21"/>
      <c r="I471" s="21"/>
      <c r="J471" s="23"/>
      <c r="K471" s="23"/>
      <c r="L471" s="23"/>
      <c r="M471" s="37"/>
      <c r="N471" s="36"/>
      <c r="O471" s="38"/>
    </row>
    <row r="472" ht="15.75" customHeight="1">
      <c r="A472" s="23"/>
      <c r="B472" s="23"/>
      <c r="C472" s="23"/>
      <c r="D472" s="23"/>
      <c r="E472" s="23"/>
      <c r="F472" s="23"/>
      <c r="G472" s="23"/>
      <c r="H472" s="21"/>
      <c r="I472" s="21"/>
      <c r="J472" s="23"/>
      <c r="K472" s="23"/>
      <c r="L472" s="23"/>
      <c r="M472" s="37"/>
      <c r="N472" s="36"/>
      <c r="O472" s="38"/>
    </row>
    <row r="473" ht="15.75" customHeight="1">
      <c r="A473" s="23"/>
      <c r="B473" s="23"/>
      <c r="C473" s="23"/>
      <c r="D473" s="23"/>
      <c r="E473" s="23"/>
      <c r="F473" s="23"/>
      <c r="G473" s="23"/>
      <c r="H473" s="21"/>
      <c r="I473" s="21"/>
      <c r="J473" s="23"/>
      <c r="K473" s="23"/>
      <c r="L473" s="23"/>
      <c r="M473" s="37"/>
      <c r="N473" s="36"/>
      <c r="O473" s="38"/>
    </row>
    <row r="474" ht="15.75" customHeight="1">
      <c r="A474" s="23"/>
      <c r="B474" s="23"/>
      <c r="C474" s="23"/>
      <c r="D474" s="23"/>
      <c r="E474" s="23"/>
      <c r="F474" s="23"/>
      <c r="G474" s="23"/>
      <c r="H474" s="21"/>
      <c r="I474" s="21"/>
      <c r="J474" s="23"/>
      <c r="K474" s="23"/>
      <c r="L474" s="23"/>
      <c r="M474" s="37"/>
      <c r="N474" s="36"/>
      <c r="O474" s="38"/>
    </row>
    <row r="475" ht="15.75" customHeight="1">
      <c r="A475" s="23"/>
      <c r="B475" s="23"/>
      <c r="C475" s="23"/>
      <c r="D475" s="23"/>
      <c r="E475" s="23"/>
      <c r="F475" s="23"/>
      <c r="G475" s="23"/>
      <c r="H475" s="21"/>
      <c r="I475" s="21"/>
      <c r="J475" s="23"/>
      <c r="K475" s="23"/>
      <c r="L475" s="23"/>
      <c r="M475" s="37"/>
      <c r="N475" s="36"/>
      <c r="O475" s="38"/>
    </row>
    <row r="476" ht="15.75" customHeight="1">
      <c r="A476" s="23"/>
      <c r="B476" s="23"/>
      <c r="C476" s="23"/>
      <c r="D476" s="23"/>
      <c r="E476" s="23"/>
      <c r="F476" s="23"/>
      <c r="G476" s="23"/>
      <c r="H476" s="21"/>
      <c r="I476" s="21"/>
      <c r="J476" s="23"/>
      <c r="K476" s="23"/>
      <c r="L476" s="23"/>
      <c r="M476" s="37"/>
      <c r="N476" s="36"/>
      <c r="O476" s="38"/>
    </row>
    <row r="477" ht="15.75" customHeight="1">
      <c r="A477" s="23"/>
      <c r="B477" s="23"/>
      <c r="C477" s="23"/>
      <c r="D477" s="23"/>
      <c r="E477" s="23"/>
      <c r="F477" s="23"/>
      <c r="G477" s="23"/>
      <c r="H477" s="21"/>
      <c r="I477" s="21"/>
      <c r="J477" s="23"/>
      <c r="K477" s="23"/>
      <c r="L477" s="23"/>
      <c r="M477" s="37"/>
      <c r="N477" s="36"/>
      <c r="O477" s="38"/>
    </row>
    <row r="478" ht="15.75" customHeight="1">
      <c r="A478" s="23"/>
      <c r="B478" s="23"/>
      <c r="C478" s="23"/>
      <c r="D478" s="23"/>
      <c r="E478" s="23"/>
      <c r="F478" s="23"/>
      <c r="G478" s="23"/>
      <c r="H478" s="21"/>
      <c r="I478" s="21"/>
      <c r="J478" s="23"/>
      <c r="K478" s="23"/>
      <c r="L478" s="23"/>
      <c r="M478" s="37"/>
      <c r="N478" s="36"/>
      <c r="O478" s="38"/>
    </row>
    <row r="479" ht="15.75" customHeight="1">
      <c r="A479" s="23"/>
      <c r="B479" s="23"/>
      <c r="C479" s="23"/>
      <c r="D479" s="23"/>
      <c r="E479" s="23"/>
      <c r="F479" s="23"/>
      <c r="G479" s="23"/>
      <c r="H479" s="21"/>
      <c r="I479" s="21"/>
      <c r="J479" s="23"/>
      <c r="K479" s="23"/>
      <c r="L479" s="23"/>
      <c r="M479" s="37"/>
      <c r="N479" s="36"/>
      <c r="O479" s="38"/>
    </row>
    <row r="480" ht="15.75" customHeight="1">
      <c r="A480" s="23"/>
      <c r="B480" s="23"/>
      <c r="C480" s="23"/>
      <c r="D480" s="23"/>
      <c r="E480" s="23"/>
      <c r="F480" s="23"/>
      <c r="G480" s="23"/>
      <c r="H480" s="21"/>
      <c r="I480" s="21"/>
      <c r="J480" s="23"/>
      <c r="K480" s="23"/>
      <c r="L480" s="23"/>
      <c r="M480" s="37"/>
      <c r="N480" s="36"/>
      <c r="O480" s="38"/>
    </row>
    <row r="481" ht="15.75" customHeight="1">
      <c r="A481" s="23"/>
      <c r="B481" s="23"/>
      <c r="C481" s="23"/>
      <c r="D481" s="23"/>
      <c r="E481" s="23"/>
      <c r="F481" s="23"/>
      <c r="G481" s="23"/>
      <c r="H481" s="21"/>
      <c r="I481" s="21"/>
      <c r="J481" s="23"/>
      <c r="K481" s="23"/>
      <c r="L481" s="23"/>
      <c r="M481" s="37"/>
      <c r="N481" s="36"/>
      <c r="O481" s="38"/>
    </row>
    <row r="482" ht="15.75" customHeight="1">
      <c r="A482" s="23"/>
      <c r="B482" s="23"/>
      <c r="C482" s="23"/>
      <c r="D482" s="23"/>
      <c r="E482" s="23"/>
      <c r="F482" s="23"/>
      <c r="G482" s="23"/>
      <c r="H482" s="21"/>
      <c r="I482" s="21"/>
      <c r="J482" s="23"/>
      <c r="K482" s="23"/>
      <c r="L482" s="23"/>
      <c r="M482" s="37"/>
      <c r="N482" s="36"/>
      <c r="O482" s="38"/>
    </row>
    <row r="483" ht="15.75" customHeight="1">
      <c r="A483" s="23"/>
      <c r="B483" s="23"/>
      <c r="C483" s="23"/>
      <c r="D483" s="23"/>
      <c r="E483" s="23"/>
      <c r="F483" s="23"/>
      <c r="G483" s="23"/>
      <c r="H483" s="21"/>
      <c r="I483" s="21"/>
      <c r="J483" s="23"/>
      <c r="K483" s="23"/>
      <c r="L483" s="23"/>
      <c r="M483" s="37"/>
      <c r="N483" s="36"/>
      <c r="O483" s="38"/>
    </row>
    <row r="484" ht="15.75" customHeight="1">
      <c r="A484" s="23"/>
      <c r="B484" s="23"/>
      <c r="C484" s="23"/>
      <c r="D484" s="23"/>
      <c r="E484" s="23"/>
      <c r="F484" s="23"/>
      <c r="G484" s="23"/>
      <c r="H484" s="21"/>
      <c r="I484" s="21"/>
      <c r="J484" s="23"/>
      <c r="K484" s="23"/>
      <c r="L484" s="23"/>
      <c r="M484" s="37"/>
      <c r="N484" s="36"/>
      <c r="O484" s="38"/>
    </row>
    <row r="485" ht="15.75" customHeight="1">
      <c r="A485" s="23"/>
      <c r="B485" s="23"/>
      <c r="C485" s="23"/>
      <c r="D485" s="23"/>
      <c r="E485" s="23"/>
      <c r="F485" s="23"/>
      <c r="G485" s="23"/>
      <c r="H485" s="21"/>
      <c r="I485" s="21"/>
      <c r="J485" s="23"/>
      <c r="K485" s="23"/>
      <c r="L485" s="23"/>
      <c r="M485" s="37"/>
      <c r="N485" s="36"/>
      <c r="O485" s="38"/>
    </row>
    <row r="486" ht="15.75" customHeight="1">
      <c r="A486" s="23"/>
      <c r="B486" s="23"/>
      <c r="C486" s="23"/>
      <c r="D486" s="23"/>
      <c r="E486" s="23"/>
      <c r="F486" s="23"/>
      <c r="G486" s="23"/>
      <c r="H486" s="21"/>
      <c r="I486" s="21"/>
      <c r="J486" s="23"/>
      <c r="K486" s="23"/>
      <c r="L486" s="23"/>
      <c r="M486" s="37"/>
      <c r="N486" s="36"/>
      <c r="O486" s="38"/>
    </row>
    <row r="487" ht="15.75" customHeight="1">
      <c r="A487" s="23"/>
      <c r="B487" s="23"/>
      <c r="C487" s="23"/>
      <c r="D487" s="23"/>
      <c r="E487" s="23"/>
      <c r="F487" s="23"/>
      <c r="G487" s="23"/>
      <c r="H487" s="21"/>
      <c r="I487" s="21"/>
      <c r="J487" s="23"/>
      <c r="K487" s="23"/>
      <c r="L487" s="23"/>
      <c r="M487" s="37"/>
      <c r="N487" s="36"/>
      <c r="O487" s="38"/>
    </row>
    <row r="488" ht="15.75" customHeight="1">
      <c r="A488" s="23"/>
      <c r="B488" s="23"/>
      <c r="C488" s="23"/>
      <c r="D488" s="23"/>
      <c r="E488" s="23"/>
      <c r="F488" s="23"/>
      <c r="G488" s="23"/>
      <c r="H488" s="21"/>
      <c r="I488" s="21"/>
      <c r="J488" s="23"/>
      <c r="K488" s="23"/>
      <c r="L488" s="23"/>
      <c r="M488" s="37"/>
      <c r="N488" s="36"/>
      <c r="O488" s="38"/>
    </row>
    <row r="489" ht="15.75" customHeight="1">
      <c r="A489" s="23"/>
      <c r="B489" s="23"/>
      <c r="C489" s="23"/>
      <c r="D489" s="23"/>
      <c r="E489" s="23"/>
      <c r="F489" s="23"/>
      <c r="G489" s="23"/>
      <c r="H489" s="21"/>
      <c r="I489" s="21"/>
      <c r="J489" s="23"/>
      <c r="K489" s="23"/>
      <c r="L489" s="23"/>
      <c r="M489" s="37"/>
      <c r="N489" s="36"/>
      <c r="O489" s="38"/>
    </row>
    <row r="490" ht="15.75" customHeight="1">
      <c r="A490" s="23"/>
      <c r="B490" s="23"/>
      <c r="C490" s="23"/>
      <c r="D490" s="23"/>
      <c r="E490" s="23"/>
      <c r="F490" s="23"/>
      <c r="G490" s="23"/>
      <c r="H490" s="21"/>
      <c r="I490" s="21"/>
      <c r="J490" s="23"/>
      <c r="K490" s="23"/>
      <c r="L490" s="23"/>
      <c r="M490" s="37"/>
      <c r="N490" s="36"/>
      <c r="O490" s="38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36"/>
      <c r="O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36"/>
      <c r="O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36"/>
      <c r="O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36"/>
      <c r="O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36"/>
      <c r="O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36"/>
      <c r="O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36"/>
      <c r="O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36"/>
      <c r="O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36"/>
      <c r="O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36"/>
      <c r="O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36"/>
      <c r="O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36"/>
      <c r="O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36"/>
      <c r="O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36"/>
      <c r="O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36"/>
      <c r="O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36"/>
      <c r="O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36"/>
      <c r="O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36"/>
      <c r="O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36"/>
      <c r="O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36"/>
      <c r="O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36"/>
      <c r="O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36"/>
      <c r="O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36"/>
      <c r="O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36"/>
      <c r="O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36"/>
      <c r="O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36"/>
      <c r="O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36"/>
      <c r="O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36"/>
      <c r="O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36"/>
      <c r="O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36"/>
      <c r="O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36"/>
      <c r="O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36"/>
      <c r="O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36"/>
      <c r="O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36"/>
      <c r="O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36"/>
      <c r="O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36"/>
      <c r="O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36"/>
      <c r="O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36"/>
      <c r="O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36"/>
      <c r="O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36"/>
      <c r="O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36"/>
      <c r="O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36"/>
      <c r="O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36"/>
      <c r="O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36"/>
      <c r="O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36"/>
      <c r="O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36"/>
      <c r="O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36"/>
      <c r="O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36"/>
      <c r="O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36"/>
      <c r="O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36"/>
      <c r="O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36"/>
      <c r="O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36"/>
      <c r="O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36"/>
      <c r="O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36"/>
      <c r="O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36"/>
      <c r="O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36"/>
      <c r="O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36"/>
      <c r="O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36"/>
      <c r="O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36"/>
      <c r="O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36"/>
      <c r="O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36"/>
      <c r="O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36"/>
      <c r="O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36"/>
      <c r="O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36"/>
      <c r="O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36"/>
      <c r="O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36"/>
      <c r="O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36"/>
      <c r="O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36"/>
      <c r="O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36"/>
      <c r="O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36"/>
      <c r="O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36"/>
      <c r="O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36"/>
      <c r="O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36"/>
      <c r="O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36"/>
      <c r="O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36"/>
      <c r="O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36"/>
      <c r="O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36"/>
      <c r="O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36"/>
      <c r="O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36"/>
      <c r="O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36"/>
      <c r="O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36"/>
      <c r="O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36"/>
      <c r="O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36"/>
      <c r="O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36"/>
      <c r="O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36"/>
      <c r="O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36"/>
      <c r="O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36"/>
      <c r="O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36"/>
      <c r="O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36"/>
      <c r="O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36"/>
      <c r="O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36"/>
      <c r="O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36"/>
      <c r="O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36"/>
      <c r="O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36"/>
      <c r="O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36"/>
      <c r="O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36"/>
      <c r="O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36"/>
      <c r="O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36"/>
      <c r="O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36"/>
      <c r="O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36"/>
      <c r="O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36"/>
      <c r="O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36"/>
      <c r="O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36"/>
      <c r="O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36"/>
      <c r="O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36"/>
      <c r="O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36"/>
      <c r="O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36"/>
      <c r="O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36"/>
      <c r="O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36"/>
      <c r="O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36"/>
      <c r="O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36"/>
      <c r="O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36"/>
      <c r="O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36"/>
      <c r="O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36"/>
      <c r="O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36"/>
      <c r="O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36"/>
      <c r="O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36"/>
      <c r="O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36"/>
      <c r="O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36"/>
      <c r="O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36"/>
      <c r="O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36"/>
      <c r="O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36"/>
      <c r="O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36"/>
      <c r="O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36"/>
      <c r="O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36"/>
      <c r="O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36"/>
      <c r="O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36"/>
      <c r="O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36"/>
      <c r="O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36"/>
      <c r="O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36"/>
      <c r="O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36"/>
      <c r="O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36"/>
      <c r="O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36"/>
      <c r="O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36"/>
      <c r="O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36"/>
      <c r="O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36"/>
      <c r="O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36"/>
      <c r="O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36"/>
      <c r="O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36"/>
      <c r="O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36"/>
      <c r="O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36"/>
      <c r="O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36"/>
      <c r="O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36"/>
      <c r="O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36"/>
      <c r="O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36"/>
      <c r="O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36"/>
      <c r="O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36"/>
      <c r="O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36"/>
      <c r="O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36"/>
      <c r="O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36"/>
      <c r="O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36"/>
      <c r="O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36"/>
      <c r="O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36"/>
      <c r="O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36"/>
      <c r="O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36"/>
      <c r="O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36"/>
      <c r="O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36"/>
      <c r="O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36"/>
      <c r="O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36"/>
      <c r="O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36"/>
      <c r="O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36"/>
      <c r="O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36"/>
      <c r="O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36"/>
      <c r="O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36"/>
      <c r="O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36"/>
      <c r="O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36"/>
      <c r="O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36"/>
      <c r="O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36"/>
      <c r="O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36"/>
      <c r="O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36"/>
      <c r="O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36"/>
      <c r="O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36"/>
      <c r="O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36"/>
      <c r="O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36"/>
      <c r="O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36"/>
      <c r="O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36"/>
      <c r="O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36"/>
      <c r="O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36"/>
      <c r="O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36"/>
      <c r="O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36"/>
      <c r="O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36"/>
      <c r="O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36"/>
      <c r="O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36"/>
      <c r="O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36"/>
      <c r="O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36"/>
      <c r="O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36"/>
      <c r="O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36"/>
      <c r="O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36"/>
      <c r="O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36"/>
      <c r="O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36"/>
      <c r="O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36"/>
      <c r="O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36"/>
      <c r="O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36"/>
      <c r="O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36"/>
      <c r="O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36"/>
      <c r="O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36"/>
      <c r="O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36"/>
      <c r="O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36"/>
      <c r="O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36"/>
      <c r="O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36"/>
      <c r="O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36"/>
      <c r="O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36"/>
      <c r="O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36"/>
      <c r="O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36"/>
      <c r="O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36"/>
      <c r="O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36"/>
      <c r="O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36"/>
      <c r="O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36"/>
      <c r="O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36"/>
      <c r="O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36"/>
      <c r="O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36"/>
      <c r="O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36"/>
      <c r="O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36"/>
      <c r="O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36"/>
      <c r="O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36"/>
      <c r="O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36"/>
      <c r="O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36"/>
      <c r="O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36"/>
      <c r="O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36"/>
      <c r="O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36"/>
      <c r="O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36"/>
      <c r="O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36"/>
      <c r="O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36"/>
      <c r="O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36"/>
      <c r="O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36"/>
      <c r="O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36"/>
      <c r="O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36"/>
      <c r="O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36"/>
      <c r="O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36"/>
      <c r="O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36"/>
      <c r="O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36"/>
      <c r="O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36"/>
      <c r="O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36"/>
      <c r="O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36"/>
      <c r="O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36"/>
      <c r="O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36"/>
      <c r="O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36"/>
      <c r="O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36"/>
      <c r="O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36"/>
      <c r="O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36"/>
      <c r="O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36"/>
      <c r="O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36"/>
      <c r="O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36"/>
      <c r="O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36"/>
      <c r="O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36"/>
      <c r="O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36"/>
      <c r="O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36"/>
      <c r="O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36"/>
      <c r="O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36"/>
      <c r="O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36"/>
      <c r="O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36"/>
      <c r="O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36"/>
      <c r="O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36"/>
      <c r="O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36"/>
      <c r="O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36"/>
      <c r="O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36"/>
      <c r="O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36"/>
      <c r="O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36"/>
      <c r="O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36"/>
      <c r="O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36"/>
      <c r="O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36"/>
      <c r="O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36"/>
      <c r="O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36"/>
      <c r="O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36"/>
      <c r="O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36"/>
      <c r="O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36"/>
      <c r="O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36"/>
      <c r="O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36"/>
      <c r="O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36"/>
      <c r="O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36"/>
      <c r="O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36"/>
      <c r="O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36"/>
      <c r="O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36"/>
      <c r="O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36"/>
      <c r="O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36"/>
      <c r="O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36"/>
      <c r="O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36"/>
      <c r="O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36"/>
      <c r="O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36"/>
      <c r="O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36"/>
      <c r="O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36"/>
      <c r="O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36"/>
      <c r="O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36"/>
      <c r="O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36"/>
      <c r="O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36"/>
      <c r="O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36"/>
      <c r="O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36"/>
      <c r="O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36"/>
      <c r="O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36"/>
      <c r="O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36"/>
      <c r="O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36"/>
      <c r="O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36"/>
      <c r="O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36"/>
      <c r="O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36"/>
      <c r="O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36"/>
      <c r="O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36"/>
      <c r="O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36"/>
      <c r="O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36"/>
      <c r="O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36"/>
      <c r="O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36"/>
      <c r="O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36"/>
      <c r="O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36"/>
      <c r="O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36"/>
      <c r="O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36"/>
      <c r="O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36"/>
      <c r="O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36"/>
      <c r="O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36"/>
      <c r="O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36"/>
      <c r="O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36"/>
      <c r="O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36"/>
      <c r="O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36"/>
      <c r="O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36"/>
      <c r="O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36"/>
      <c r="O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36"/>
      <c r="O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36"/>
      <c r="O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36"/>
      <c r="O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36"/>
      <c r="O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36"/>
      <c r="O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36"/>
      <c r="O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36"/>
      <c r="O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36"/>
      <c r="O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36"/>
      <c r="O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36"/>
      <c r="O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36"/>
      <c r="O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36"/>
      <c r="O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36"/>
      <c r="O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36"/>
      <c r="O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36"/>
      <c r="O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36"/>
      <c r="O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36"/>
      <c r="O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36"/>
      <c r="O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36"/>
      <c r="O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36"/>
      <c r="O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36"/>
      <c r="O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36"/>
      <c r="O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36"/>
      <c r="O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36"/>
      <c r="O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36"/>
      <c r="O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36"/>
      <c r="O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36"/>
      <c r="O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36"/>
      <c r="O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36"/>
      <c r="O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36"/>
      <c r="O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36"/>
      <c r="O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36"/>
      <c r="O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36"/>
      <c r="O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36"/>
      <c r="O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36"/>
      <c r="O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36"/>
      <c r="O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36"/>
      <c r="O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36"/>
      <c r="O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36"/>
      <c r="O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36"/>
      <c r="O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36"/>
      <c r="O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36"/>
      <c r="O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36"/>
      <c r="O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36"/>
      <c r="O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36"/>
      <c r="O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36"/>
      <c r="O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36"/>
      <c r="O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36"/>
      <c r="O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36"/>
      <c r="O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36"/>
      <c r="O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36"/>
      <c r="O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36"/>
      <c r="O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36"/>
      <c r="O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36"/>
      <c r="O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36"/>
      <c r="O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36"/>
      <c r="O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36"/>
      <c r="O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36"/>
      <c r="O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36"/>
      <c r="O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36"/>
      <c r="O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36"/>
      <c r="O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36"/>
      <c r="O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36"/>
      <c r="O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36"/>
      <c r="O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36"/>
      <c r="O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36"/>
      <c r="O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36"/>
      <c r="O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36"/>
      <c r="O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36"/>
      <c r="O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36"/>
      <c r="O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36"/>
      <c r="O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36"/>
      <c r="O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36"/>
      <c r="O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36"/>
      <c r="O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36"/>
      <c r="O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36"/>
      <c r="O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36"/>
      <c r="O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36"/>
      <c r="O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36"/>
      <c r="O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36"/>
      <c r="O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36"/>
      <c r="O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36"/>
      <c r="O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36"/>
      <c r="O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36"/>
      <c r="O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36"/>
      <c r="O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36"/>
      <c r="O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36"/>
      <c r="O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36"/>
      <c r="O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36"/>
      <c r="O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36"/>
      <c r="O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36"/>
      <c r="O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36"/>
      <c r="O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36"/>
      <c r="O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36"/>
      <c r="O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36"/>
      <c r="O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36"/>
      <c r="O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36"/>
      <c r="O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36"/>
      <c r="O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36"/>
      <c r="O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36"/>
      <c r="O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36"/>
      <c r="O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36"/>
      <c r="O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36"/>
      <c r="O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36"/>
      <c r="O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36"/>
      <c r="O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36"/>
      <c r="O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36"/>
      <c r="O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36"/>
      <c r="O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36"/>
      <c r="O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36"/>
      <c r="O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36"/>
      <c r="O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36"/>
      <c r="O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36"/>
      <c r="O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36"/>
      <c r="O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36"/>
      <c r="O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36"/>
      <c r="O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36"/>
      <c r="O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36"/>
      <c r="O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36"/>
      <c r="O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36"/>
      <c r="O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36"/>
      <c r="O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36"/>
      <c r="O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36"/>
      <c r="O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36"/>
      <c r="O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36"/>
      <c r="O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36"/>
      <c r="O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36"/>
      <c r="O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36"/>
      <c r="O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36"/>
      <c r="O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36"/>
      <c r="O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36"/>
      <c r="O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36"/>
      <c r="O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36"/>
      <c r="O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36"/>
      <c r="O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36"/>
      <c r="O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36"/>
      <c r="O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36"/>
      <c r="O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36"/>
      <c r="O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36"/>
      <c r="O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36"/>
      <c r="O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36"/>
      <c r="O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36"/>
      <c r="O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36"/>
      <c r="O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36"/>
      <c r="O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36"/>
      <c r="O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36"/>
      <c r="O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36"/>
      <c r="O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36"/>
      <c r="O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36"/>
      <c r="O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36"/>
      <c r="O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36"/>
      <c r="O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36"/>
      <c r="O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36"/>
      <c r="O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36"/>
      <c r="O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36"/>
      <c r="O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36"/>
      <c r="O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36"/>
      <c r="O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36"/>
      <c r="O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36"/>
      <c r="O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36"/>
      <c r="O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36"/>
      <c r="O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36"/>
      <c r="O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36"/>
      <c r="O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36"/>
      <c r="O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36"/>
      <c r="O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36"/>
      <c r="O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36"/>
      <c r="O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36"/>
      <c r="O971" s="23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43"/>
    <col customWidth="1" min="3" max="3" width="33.0"/>
    <col customWidth="1" min="4" max="4" width="38.14"/>
    <col customWidth="1" min="5" max="5" width="31.29"/>
    <col customWidth="1" min="6" max="6" width="28.86"/>
    <col customWidth="1" min="7" max="7" width="17.29"/>
    <col customWidth="1" min="8" max="8" width="13.14"/>
    <col customWidth="1" min="9" max="9" width="24.14"/>
    <col customWidth="1" min="10" max="10" width="9.71"/>
    <col customWidth="1" min="11" max="11" width="18.57"/>
    <col customWidth="1" min="12" max="12" width="17.29"/>
  </cols>
  <sheetData>
    <row r="1" ht="12.75" customHeight="1">
      <c r="A1" s="25" t="s">
        <v>103</v>
      </c>
      <c r="B1" s="25" t="s">
        <v>160</v>
      </c>
      <c r="C1" s="24" t="s">
        <v>104</v>
      </c>
      <c r="D1" s="25" t="s">
        <v>161</v>
      </c>
      <c r="E1" s="25" t="s">
        <v>162</v>
      </c>
      <c r="F1" s="25" t="s">
        <v>105</v>
      </c>
      <c r="G1" s="13" t="s">
        <v>50</v>
      </c>
      <c r="H1" s="39" t="s">
        <v>1</v>
      </c>
      <c r="I1" s="39" t="s">
        <v>163</v>
      </c>
      <c r="J1" s="27" t="s">
        <v>107</v>
      </c>
      <c r="K1" s="25" t="s">
        <v>164</v>
      </c>
      <c r="L1" s="25" t="s">
        <v>165</v>
      </c>
    </row>
    <row r="2" ht="12.75" customHeight="1">
      <c r="A2" s="39" t="s">
        <v>122</v>
      </c>
      <c r="B2" s="40" t="s">
        <v>166</v>
      </c>
      <c r="C2" s="39" t="s">
        <v>167</v>
      </c>
      <c r="D2" s="39" t="s">
        <v>168</v>
      </c>
      <c r="E2" s="39" t="s">
        <v>169</v>
      </c>
      <c r="F2" s="39" t="s">
        <v>114</v>
      </c>
      <c r="G2" s="39" t="s">
        <v>28</v>
      </c>
      <c r="H2" s="39" t="s">
        <v>14</v>
      </c>
      <c r="I2" s="39" t="s">
        <v>91</v>
      </c>
      <c r="J2" s="40">
        <v>283.32</v>
      </c>
      <c r="K2" s="40">
        <v>49864.32</v>
      </c>
      <c r="L2" s="40">
        <v>548507.52</v>
      </c>
    </row>
    <row r="3" ht="12.75" customHeight="1">
      <c r="A3" s="39" t="s">
        <v>129</v>
      </c>
      <c r="B3" s="40" t="s">
        <v>166</v>
      </c>
      <c r="C3" s="39" t="s">
        <v>170</v>
      </c>
      <c r="D3" s="39" t="s">
        <v>171</v>
      </c>
      <c r="E3" s="39" t="s">
        <v>172</v>
      </c>
      <c r="F3" s="39" t="s">
        <v>111</v>
      </c>
      <c r="G3" s="39" t="s">
        <v>28</v>
      </c>
      <c r="H3" s="39" t="s">
        <v>14</v>
      </c>
      <c r="I3" s="39" t="s">
        <v>91</v>
      </c>
      <c r="J3" s="40">
        <v>257.64</v>
      </c>
      <c r="K3" s="40">
        <v>45344.64</v>
      </c>
      <c r="L3" s="40">
        <v>498791.04</v>
      </c>
    </row>
    <row r="4" ht="12.75" customHeight="1">
      <c r="A4" s="39" t="s">
        <v>35</v>
      </c>
      <c r="B4" s="40" t="s">
        <v>173</v>
      </c>
      <c r="C4" s="39" t="s">
        <v>36</v>
      </c>
      <c r="D4" s="39" t="s">
        <v>174</v>
      </c>
      <c r="E4" s="39" t="s">
        <v>175</v>
      </c>
      <c r="F4" s="39" t="s">
        <v>153</v>
      </c>
      <c r="G4" s="39" t="s">
        <v>28</v>
      </c>
      <c r="H4" s="39" t="s">
        <v>14</v>
      </c>
      <c r="I4" s="39" t="s">
        <v>91</v>
      </c>
      <c r="J4" s="40">
        <v>193.74</v>
      </c>
      <c r="K4" s="40">
        <v>34098.24</v>
      </c>
      <c r="L4" s="40">
        <v>375080.64</v>
      </c>
    </row>
    <row r="5" ht="12.75" customHeight="1">
      <c r="A5" s="39" t="s">
        <v>148</v>
      </c>
      <c r="B5" s="40" t="s">
        <v>166</v>
      </c>
      <c r="C5" s="39" t="s">
        <v>149</v>
      </c>
      <c r="D5" s="39" t="s">
        <v>176</v>
      </c>
      <c r="E5" s="39" t="s">
        <v>177</v>
      </c>
      <c r="F5" s="39" t="s">
        <v>150</v>
      </c>
      <c r="G5" s="39" t="s">
        <v>61</v>
      </c>
      <c r="H5" s="39" t="s">
        <v>14</v>
      </c>
      <c r="I5" s="39" t="s">
        <v>91</v>
      </c>
      <c r="J5" s="40">
        <v>192.88</v>
      </c>
      <c r="K5" s="40">
        <v>33946.88</v>
      </c>
      <c r="L5" s="40">
        <v>373415.68</v>
      </c>
    </row>
    <row r="6" ht="12.75" customHeight="1">
      <c r="A6" s="39" t="s">
        <v>20</v>
      </c>
      <c r="B6" s="40" t="s">
        <v>173</v>
      </c>
      <c r="C6" s="39" t="s">
        <v>21</v>
      </c>
      <c r="D6" s="39" t="s">
        <v>178</v>
      </c>
      <c r="E6" s="39" t="s">
        <v>179</v>
      </c>
      <c r="F6" s="39" t="s">
        <v>111</v>
      </c>
      <c r="G6" s="39" t="s">
        <v>19</v>
      </c>
      <c r="H6" s="39" t="s">
        <v>14</v>
      </c>
      <c r="I6" s="39" t="s">
        <v>91</v>
      </c>
      <c r="J6" s="40">
        <v>228.58</v>
      </c>
      <c r="K6" s="40">
        <v>40230.08</v>
      </c>
      <c r="L6" s="40">
        <v>442530.88</v>
      </c>
    </row>
    <row r="7" ht="12.75" customHeight="1">
      <c r="A7" s="39" t="s">
        <v>22</v>
      </c>
      <c r="B7" s="40" t="s">
        <v>173</v>
      </c>
      <c r="C7" s="39" t="s">
        <v>23</v>
      </c>
      <c r="D7" s="39" t="s">
        <v>180</v>
      </c>
      <c r="E7" s="39" t="s">
        <v>181</v>
      </c>
      <c r="F7" s="39" t="s">
        <v>119</v>
      </c>
      <c r="G7" s="39" t="s">
        <v>19</v>
      </c>
      <c r="H7" s="39" t="s">
        <v>14</v>
      </c>
      <c r="I7" s="39" t="s">
        <v>91</v>
      </c>
      <c r="J7" s="40">
        <v>213.87</v>
      </c>
      <c r="K7" s="40">
        <v>37641.12</v>
      </c>
      <c r="L7" s="40">
        <v>414052.32</v>
      </c>
    </row>
    <row r="8" ht="12.75" customHeight="1">
      <c r="A8" s="39" t="s">
        <v>24</v>
      </c>
      <c r="B8" s="40" t="s">
        <v>173</v>
      </c>
      <c r="C8" s="39" t="s">
        <v>25</v>
      </c>
      <c r="D8" s="39" t="s">
        <v>182</v>
      </c>
      <c r="E8" s="39" t="s">
        <v>183</v>
      </c>
      <c r="F8" s="39" t="s">
        <v>111</v>
      </c>
      <c r="G8" s="39" t="s">
        <v>19</v>
      </c>
      <c r="H8" s="39" t="s">
        <v>14</v>
      </c>
      <c r="I8" s="39" t="s">
        <v>91</v>
      </c>
      <c r="J8" s="40">
        <v>213.87</v>
      </c>
      <c r="K8" s="40">
        <v>37641.12</v>
      </c>
      <c r="L8" s="40">
        <v>414052.32</v>
      </c>
    </row>
    <row r="9" ht="12.75" customHeight="1">
      <c r="A9" s="39" t="s">
        <v>141</v>
      </c>
      <c r="B9" s="40" t="s">
        <v>166</v>
      </c>
      <c r="C9" s="39" t="s">
        <v>142</v>
      </c>
      <c r="D9" s="39" t="s">
        <v>184</v>
      </c>
      <c r="E9" s="39" t="s">
        <v>185</v>
      </c>
      <c r="F9" s="39" t="s">
        <v>143</v>
      </c>
      <c r="G9" s="39" t="s">
        <v>19</v>
      </c>
      <c r="H9" s="39" t="s">
        <v>14</v>
      </c>
      <c r="I9" s="39" t="s">
        <v>91</v>
      </c>
      <c r="J9" s="40">
        <v>201.4</v>
      </c>
      <c r="K9" s="40">
        <v>35446.4</v>
      </c>
      <c r="L9" s="40">
        <v>389910.4</v>
      </c>
    </row>
    <row r="10" ht="12.75" customHeight="1">
      <c r="A10" s="39" t="s">
        <v>29</v>
      </c>
      <c r="B10" s="40" t="s">
        <v>173</v>
      </c>
      <c r="C10" s="39" t="s">
        <v>30</v>
      </c>
      <c r="D10" s="39" t="s">
        <v>186</v>
      </c>
      <c r="E10" s="39" t="s">
        <v>187</v>
      </c>
      <c r="F10" s="39" t="s">
        <v>144</v>
      </c>
      <c r="G10" s="39" t="s">
        <v>28</v>
      </c>
      <c r="H10" s="39" t="s">
        <v>14</v>
      </c>
      <c r="I10" s="39" t="s">
        <v>91</v>
      </c>
      <c r="J10" s="40">
        <v>299.76</v>
      </c>
      <c r="K10" s="40">
        <v>52757.76</v>
      </c>
      <c r="L10" s="40">
        <v>580335.36</v>
      </c>
    </row>
    <row r="11" ht="12.75" customHeight="1">
      <c r="A11" s="39" t="s">
        <v>127</v>
      </c>
      <c r="B11" s="40" t="s">
        <v>166</v>
      </c>
      <c r="C11" s="39" t="s">
        <v>188</v>
      </c>
      <c r="D11" s="39" t="s">
        <v>189</v>
      </c>
      <c r="E11" s="39" t="s">
        <v>190</v>
      </c>
      <c r="F11" s="39" t="s">
        <v>111</v>
      </c>
      <c r="G11" s="39" t="s">
        <v>28</v>
      </c>
      <c r="H11" s="39" t="s">
        <v>7</v>
      </c>
      <c r="I11" s="39" t="s">
        <v>191</v>
      </c>
      <c r="J11" s="40">
        <v>257.64</v>
      </c>
      <c r="K11" s="40">
        <v>45344.64</v>
      </c>
      <c r="L11" s="40">
        <v>498791.04</v>
      </c>
    </row>
    <row r="12" ht="12.75" customHeight="1">
      <c r="A12" s="39" t="s">
        <v>31</v>
      </c>
      <c r="B12" s="40" t="s">
        <v>173</v>
      </c>
      <c r="C12" s="39" t="s">
        <v>32</v>
      </c>
      <c r="D12" s="39" t="s">
        <v>192</v>
      </c>
      <c r="E12" s="39" t="s">
        <v>193</v>
      </c>
      <c r="F12" s="39" t="s">
        <v>114</v>
      </c>
      <c r="G12" s="39" t="s">
        <v>28</v>
      </c>
      <c r="H12" s="39" t="s">
        <v>14</v>
      </c>
      <c r="I12" s="39" t="s">
        <v>91</v>
      </c>
      <c r="J12" s="40">
        <v>289.35</v>
      </c>
      <c r="K12" s="40">
        <v>50925.6</v>
      </c>
      <c r="L12" s="40">
        <v>560181.6</v>
      </c>
    </row>
    <row r="13" ht="12.75" customHeight="1">
      <c r="A13" s="39" t="s">
        <v>33</v>
      </c>
      <c r="B13" s="40" t="s">
        <v>173</v>
      </c>
      <c r="C13" s="39" t="s">
        <v>34</v>
      </c>
      <c r="D13" s="39" t="s">
        <v>194</v>
      </c>
      <c r="E13" s="39" t="s">
        <v>195</v>
      </c>
      <c r="F13" s="39" t="s">
        <v>111</v>
      </c>
      <c r="G13" s="39" t="s">
        <v>28</v>
      </c>
      <c r="H13" s="39" t="s">
        <v>14</v>
      </c>
      <c r="I13" s="39" t="s">
        <v>91</v>
      </c>
      <c r="J13" s="40">
        <v>202.62</v>
      </c>
      <c r="K13" s="40">
        <v>35661.12</v>
      </c>
      <c r="L13" s="40">
        <v>392272.32</v>
      </c>
    </row>
    <row r="14" ht="12.75" customHeight="1">
      <c r="A14" s="39" t="s">
        <v>134</v>
      </c>
      <c r="B14" s="40" t="s">
        <v>166</v>
      </c>
      <c r="C14" s="39" t="s">
        <v>196</v>
      </c>
      <c r="D14" s="39" t="s">
        <v>197</v>
      </c>
      <c r="E14" s="39" t="s">
        <v>198</v>
      </c>
      <c r="F14" s="39" t="s">
        <v>111</v>
      </c>
      <c r="G14" s="39" t="s">
        <v>28</v>
      </c>
      <c r="H14" s="39" t="s">
        <v>7</v>
      </c>
      <c r="I14" s="39" t="s">
        <v>191</v>
      </c>
      <c r="J14" s="40">
        <v>202.62</v>
      </c>
      <c r="K14" s="40">
        <v>35661.12</v>
      </c>
      <c r="L14" s="40">
        <v>392272.32</v>
      </c>
    </row>
    <row r="15" ht="12.75" customHeight="1">
      <c r="A15" s="39" t="s">
        <v>145</v>
      </c>
      <c r="B15" s="40" t="s">
        <v>166</v>
      </c>
      <c r="C15" s="39" t="s">
        <v>146</v>
      </c>
      <c r="D15" s="39" t="s">
        <v>199</v>
      </c>
      <c r="E15" s="39" t="s">
        <v>200</v>
      </c>
      <c r="F15" s="39" t="s">
        <v>147</v>
      </c>
      <c r="G15" s="39" t="s">
        <v>28</v>
      </c>
      <c r="H15" s="39" t="s">
        <v>7</v>
      </c>
      <c r="I15" s="39" t="s">
        <v>191</v>
      </c>
      <c r="J15" s="40">
        <v>222.09</v>
      </c>
      <c r="K15" s="40">
        <v>39087.84</v>
      </c>
      <c r="L15" s="40">
        <v>429966.24</v>
      </c>
    </row>
    <row r="16" ht="12.75" customHeight="1">
      <c r="A16" s="39" t="s">
        <v>154</v>
      </c>
      <c r="B16" s="40" t="s">
        <v>166</v>
      </c>
      <c r="C16" s="39" t="s">
        <v>155</v>
      </c>
      <c r="D16" s="39" t="s">
        <v>201</v>
      </c>
      <c r="E16" s="39"/>
      <c r="F16" s="39" t="s">
        <v>156</v>
      </c>
      <c r="G16" s="39" t="s">
        <v>202</v>
      </c>
      <c r="H16" s="39" t="s">
        <v>7</v>
      </c>
      <c r="I16" s="39" t="s">
        <v>191</v>
      </c>
      <c r="J16" s="40">
        <v>184.6</v>
      </c>
      <c r="K16" s="40">
        <v>32489.6</v>
      </c>
      <c r="L16" s="40">
        <v>357385.6</v>
      </c>
    </row>
    <row r="17" ht="12.75" customHeight="1">
      <c r="A17" s="39" t="s">
        <v>26</v>
      </c>
      <c r="B17" s="40" t="s">
        <v>173</v>
      </c>
      <c r="C17" s="39" t="s">
        <v>27</v>
      </c>
      <c r="D17" s="39" t="s">
        <v>203</v>
      </c>
      <c r="E17" s="39" t="s">
        <v>204</v>
      </c>
      <c r="F17" s="39" t="s">
        <v>111</v>
      </c>
      <c r="G17" s="39" t="s">
        <v>19</v>
      </c>
      <c r="H17" s="39" t="s">
        <v>14</v>
      </c>
      <c r="I17" s="39" t="s">
        <v>91</v>
      </c>
      <c r="J17" s="40">
        <v>213.87</v>
      </c>
      <c r="K17" s="40">
        <v>37641.12</v>
      </c>
      <c r="L17" s="40">
        <v>414052.32</v>
      </c>
    </row>
    <row r="18" ht="12.75" customHeight="1">
      <c r="A18" s="39" t="s">
        <v>37</v>
      </c>
      <c r="B18" s="40" t="s">
        <v>173</v>
      </c>
      <c r="C18" s="39" t="s">
        <v>38</v>
      </c>
      <c r="D18" s="39" t="s">
        <v>205</v>
      </c>
      <c r="E18" s="39" t="s">
        <v>206</v>
      </c>
      <c r="F18" s="39" t="s">
        <v>120</v>
      </c>
      <c r="G18" s="39" t="s">
        <v>19</v>
      </c>
      <c r="H18" s="39" t="s">
        <v>12</v>
      </c>
      <c r="I18" s="39" t="s">
        <v>207</v>
      </c>
      <c r="J18" s="40">
        <v>213.87</v>
      </c>
      <c r="K18" s="40">
        <v>37641.12</v>
      </c>
      <c r="L18" s="40">
        <v>414052.32</v>
      </c>
    </row>
    <row r="19" ht="12.75" customHeight="1">
      <c r="A19" s="39" t="s">
        <v>39</v>
      </c>
      <c r="B19" s="40" t="s">
        <v>173</v>
      </c>
      <c r="C19" s="39" t="s">
        <v>40</v>
      </c>
      <c r="D19" s="39" t="s">
        <v>208</v>
      </c>
      <c r="E19" s="39" t="s">
        <v>209</v>
      </c>
      <c r="F19" s="39" t="s">
        <v>111</v>
      </c>
      <c r="G19" s="39" t="s">
        <v>19</v>
      </c>
      <c r="H19" s="39" t="s">
        <v>12</v>
      </c>
      <c r="I19" s="39" t="s">
        <v>207</v>
      </c>
      <c r="J19" s="40">
        <v>213.87</v>
      </c>
      <c r="K19" s="40">
        <v>37641.12</v>
      </c>
      <c r="L19" s="40">
        <v>414052.32</v>
      </c>
    </row>
    <row r="20" ht="12.75" customHeight="1">
      <c r="A20" s="39" t="s">
        <v>41</v>
      </c>
      <c r="B20" s="40" t="s">
        <v>173</v>
      </c>
      <c r="C20" s="39" t="s">
        <v>42</v>
      </c>
      <c r="D20" s="39" t="s">
        <v>210</v>
      </c>
      <c r="E20" s="39" t="s">
        <v>211</v>
      </c>
      <c r="F20" s="41" t="s">
        <v>133</v>
      </c>
      <c r="G20" s="39" t="s">
        <v>19</v>
      </c>
      <c r="H20" s="39" t="s">
        <v>12</v>
      </c>
      <c r="I20" s="39" t="s">
        <v>207</v>
      </c>
      <c r="J20" s="40">
        <v>191.36</v>
      </c>
      <c r="K20" s="40">
        <v>33679.36</v>
      </c>
      <c r="L20" s="40">
        <v>370472.96</v>
      </c>
    </row>
    <row r="21" ht="12.75" customHeight="1">
      <c r="A21" s="39" t="s">
        <v>43</v>
      </c>
      <c r="B21" s="40" t="s">
        <v>173</v>
      </c>
      <c r="C21" s="39" t="s">
        <v>44</v>
      </c>
      <c r="D21" s="39"/>
      <c r="E21" s="39"/>
      <c r="F21" s="39" t="s">
        <v>111</v>
      </c>
      <c r="G21" s="39" t="s">
        <v>19</v>
      </c>
      <c r="H21" s="39" t="s">
        <v>12</v>
      </c>
      <c r="I21" s="39" t="s">
        <v>207</v>
      </c>
      <c r="J21" s="40">
        <v>213.87</v>
      </c>
      <c r="K21" s="40">
        <v>40000.0</v>
      </c>
      <c r="L21" s="40">
        <v>480000.0</v>
      </c>
    </row>
    <row r="22" ht="12.75" customHeight="1">
      <c r="A22" s="39"/>
      <c r="B22" s="40"/>
      <c r="C22" s="39"/>
      <c r="D22" s="39"/>
      <c r="E22" s="39"/>
      <c r="F22" s="39"/>
      <c r="G22" s="39"/>
      <c r="H22" s="39"/>
      <c r="I22" s="39"/>
      <c r="J22" s="40"/>
      <c r="K22" s="40"/>
      <c r="L22" s="40"/>
    </row>
    <row r="23" ht="12.75" customHeight="1">
      <c r="A23" s="39"/>
      <c r="B23" s="40"/>
      <c r="C23" s="39"/>
      <c r="D23" s="39"/>
      <c r="E23" s="39"/>
      <c r="F23" s="39"/>
      <c r="G23" s="39"/>
      <c r="H23" s="39"/>
      <c r="I23" s="39"/>
      <c r="J23" s="40"/>
      <c r="K23" s="40"/>
      <c r="L23" s="40"/>
    </row>
    <row r="24" ht="12.75" customHeight="1">
      <c r="A24" s="39"/>
      <c r="B24" s="40"/>
      <c r="C24" s="39"/>
      <c r="D24" s="39"/>
      <c r="E24" s="39"/>
      <c r="F24" s="39"/>
      <c r="G24" s="39"/>
      <c r="H24" s="39"/>
      <c r="I24" s="39"/>
      <c r="J24" s="42"/>
      <c r="K24" s="40"/>
      <c r="L24" s="40"/>
    </row>
    <row r="25" ht="12.75" customHeight="1">
      <c r="A25" s="39"/>
      <c r="B25" s="40"/>
      <c r="C25" s="39"/>
      <c r="D25" s="39"/>
      <c r="E25" s="39"/>
      <c r="F25" s="39"/>
      <c r="G25" s="39"/>
      <c r="H25" s="39"/>
      <c r="I25" s="39"/>
      <c r="J25" s="42"/>
      <c r="K25" s="40"/>
      <c r="L25" s="40"/>
    </row>
    <row r="26" ht="12.75" customHeight="1">
      <c r="A26" s="39"/>
      <c r="B26" s="40"/>
      <c r="C26" s="39"/>
      <c r="D26" s="39"/>
      <c r="E26" s="39"/>
      <c r="F26" s="39"/>
      <c r="G26" s="39"/>
      <c r="H26" s="39"/>
      <c r="I26" s="39"/>
      <c r="J26" s="42"/>
      <c r="K26" s="40"/>
      <c r="L26" s="40"/>
    </row>
    <row r="27" ht="12.75" customHeight="1">
      <c r="A27" s="39"/>
      <c r="B27" s="40"/>
      <c r="C27" s="39"/>
      <c r="D27" s="39"/>
      <c r="E27" s="39"/>
      <c r="F27" s="39"/>
      <c r="G27" s="39"/>
      <c r="H27" s="39"/>
      <c r="I27" s="39"/>
      <c r="J27" s="40"/>
      <c r="K27" s="40"/>
      <c r="L27" s="40"/>
    </row>
    <row r="28" ht="12.75" customHeight="1">
      <c r="A28" s="39"/>
      <c r="B28" s="40"/>
      <c r="C28" s="39"/>
      <c r="D28" s="39"/>
      <c r="E28" s="39"/>
      <c r="F28" s="39"/>
      <c r="G28" s="39"/>
      <c r="H28" s="39"/>
      <c r="I28" s="39"/>
      <c r="J28" s="40"/>
      <c r="K28" s="40"/>
      <c r="L28" s="40"/>
    </row>
    <row r="29" ht="12.75" customHeight="1">
      <c r="A29" s="39"/>
      <c r="B29" s="40"/>
      <c r="C29" s="39"/>
      <c r="D29" s="39"/>
      <c r="E29" s="39"/>
      <c r="F29" s="39"/>
      <c r="G29" s="39"/>
      <c r="H29" s="39"/>
      <c r="I29" s="39"/>
      <c r="J29" s="40"/>
      <c r="K29" s="40"/>
      <c r="L29" s="40"/>
    </row>
    <row r="30" ht="12.75" customHeight="1">
      <c r="A30" s="39"/>
      <c r="B30" s="40"/>
      <c r="C30" s="39"/>
      <c r="D30" s="39"/>
      <c r="E30" s="39"/>
      <c r="F30" s="39"/>
      <c r="G30" s="39"/>
      <c r="H30" s="39"/>
      <c r="I30" s="39"/>
      <c r="J30" s="40"/>
      <c r="K30" s="40"/>
      <c r="L30" s="40"/>
    </row>
    <row r="31" ht="12.75" customHeight="1">
      <c r="A31" s="39"/>
      <c r="B31" s="40"/>
      <c r="C31" s="39"/>
      <c r="D31" s="39"/>
      <c r="E31" s="39"/>
      <c r="F31" s="39"/>
      <c r="G31" s="39"/>
      <c r="H31" s="39"/>
      <c r="I31" s="39"/>
      <c r="J31" s="40"/>
      <c r="K31" s="40"/>
      <c r="L31" s="40"/>
    </row>
    <row r="32" ht="12.75" customHeight="1">
      <c r="A32" s="39"/>
      <c r="B32" s="40"/>
      <c r="C32" s="39"/>
      <c r="D32" s="39"/>
      <c r="E32" s="39"/>
      <c r="F32" s="39"/>
      <c r="G32" s="39"/>
      <c r="H32" s="39"/>
      <c r="I32" s="39"/>
      <c r="J32" s="40"/>
      <c r="K32" s="40"/>
      <c r="L32" s="40"/>
    </row>
    <row r="33" ht="12.75" customHeight="1">
      <c r="A33" s="39"/>
      <c r="B33" s="40"/>
      <c r="C33" s="39"/>
      <c r="D33" s="39"/>
      <c r="E33" s="39"/>
      <c r="F33" s="39"/>
      <c r="G33" s="39"/>
      <c r="H33" s="39"/>
      <c r="I33" s="39"/>
      <c r="J33" s="40"/>
      <c r="K33" s="40"/>
      <c r="L33" s="40"/>
    </row>
    <row r="34" ht="12.75" customHeight="1">
      <c r="A34" s="39"/>
      <c r="B34" s="40"/>
      <c r="C34" s="39"/>
      <c r="D34" s="39"/>
      <c r="E34" s="39"/>
      <c r="F34" s="39"/>
      <c r="G34" s="39"/>
      <c r="H34" s="39"/>
      <c r="I34" s="39"/>
      <c r="J34" s="40"/>
      <c r="K34" s="40"/>
      <c r="L34" s="40"/>
    </row>
    <row r="35" ht="12.75" customHeight="1">
      <c r="A35" s="39"/>
      <c r="B35" s="40"/>
      <c r="C35" s="39"/>
      <c r="D35" s="39"/>
      <c r="E35" s="39"/>
      <c r="F35" s="39"/>
      <c r="G35" s="39"/>
      <c r="H35" s="39"/>
      <c r="I35" s="39"/>
      <c r="J35" s="40"/>
      <c r="K35" s="40"/>
      <c r="L35" s="40"/>
    </row>
    <row r="36" ht="12.75" customHeight="1">
      <c r="A36" s="39"/>
      <c r="B36" s="40"/>
      <c r="C36" s="39"/>
      <c r="D36" s="39"/>
      <c r="E36" s="39"/>
      <c r="F36" s="39"/>
      <c r="G36" s="39"/>
      <c r="H36" s="39"/>
      <c r="I36" s="39"/>
      <c r="J36" s="40"/>
      <c r="K36" s="40"/>
      <c r="L36" s="40"/>
    </row>
    <row r="37" ht="12.75" customHeight="1">
      <c r="A37" s="39"/>
      <c r="B37" s="40"/>
      <c r="C37" s="39"/>
      <c r="D37" s="39"/>
      <c r="E37" s="39"/>
      <c r="F37" s="39"/>
      <c r="G37" s="39"/>
      <c r="H37" s="39"/>
      <c r="I37" s="39"/>
      <c r="J37" s="40"/>
      <c r="K37" s="40"/>
      <c r="L37" s="40"/>
    </row>
    <row r="38" ht="12.75" customHeight="1">
      <c r="A38" s="39"/>
      <c r="B38" s="40"/>
      <c r="C38" s="39"/>
      <c r="D38" s="39"/>
      <c r="E38" s="39"/>
      <c r="F38" s="39"/>
      <c r="G38" s="39"/>
      <c r="H38" s="39"/>
      <c r="I38" s="39"/>
      <c r="J38" s="40"/>
      <c r="K38" s="40"/>
      <c r="L38" s="40"/>
    </row>
    <row r="39" ht="12.75" customHeight="1">
      <c r="A39" s="39"/>
      <c r="B39" s="40"/>
      <c r="C39" s="39"/>
      <c r="D39" s="39"/>
      <c r="E39" s="39"/>
      <c r="F39" s="39"/>
      <c r="G39" s="39"/>
      <c r="H39" s="39"/>
      <c r="I39" s="39"/>
      <c r="J39" s="40"/>
      <c r="K39" s="40"/>
      <c r="L39" s="40"/>
    </row>
    <row r="40" ht="12.75" customHeight="1">
      <c r="A40" s="39"/>
      <c r="B40" s="40"/>
      <c r="C40" s="39"/>
      <c r="D40" s="39"/>
      <c r="E40" s="39"/>
      <c r="F40" s="39"/>
      <c r="G40" s="39"/>
      <c r="H40" s="39"/>
      <c r="I40" s="39"/>
      <c r="J40" s="40"/>
      <c r="K40" s="40"/>
      <c r="L40" s="40"/>
    </row>
    <row r="41" ht="12.75" customHeight="1">
      <c r="A41" s="39"/>
      <c r="B41" s="40"/>
      <c r="C41" s="39"/>
      <c r="D41" s="39"/>
      <c r="E41" s="39"/>
      <c r="F41" s="39"/>
      <c r="G41" s="39"/>
      <c r="H41" s="39"/>
      <c r="I41" s="39"/>
      <c r="J41" s="40"/>
      <c r="K41" s="40"/>
      <c r="L41" s="40"/>
    </row>
    <row r="42" ht="12.75" customHeight="1">
      <c r="A42" s="39"/>
      <c r="B42" s="40"/>
      <c r="C42" s="39"/>
      <c r="D42" s="39"/>
      <c r="E42" s="39"/>
      <c r="F42" s="39"/>
      <c r="G42" s="39"/>
      <c r="H42" s="39"/>
      <c r="I42" s="39"/>
      <c r="J42" s="40"/>
      <c r="K42" s="40"/>
      <c r="L42" s="40"/>
    </row>
    <row r="43" ht="12.75" customHeight="1">
      <c r="A43" s="39"/>
      <c r="B43" s="40"/>
      <c r="C43" s="39"/>
      <c r="D43" s="39"/>
      <c r="E43" s="39"/>
      <c r="F43" s="39"/>
      <c r="G43" s="39"/>
      <c r="H43" s="39"/>
      <c r="I43" s="39"/>
      <c r="J43" s="40"/>
      <c r="K43" s="40"/>
      <c r="L43" s="40"/>
    </row>
    <row r="44" ht="12.75" customHeight="1">
      <c r="A44" s="39"/>
      <c r="B44" s="40"/>
      <c r="C44" s="39"/>
      <c r="D44" s="39"/>
      <c r="E44" s="39"/>
      <c r="F44" s="39"/>
      <c r="G44" s="39"/>
      <c r="H44" s="39"/>
      <c r="I44" s="39"/>
      <c r="J44" s="40"/>
      <c r="K44" s="40"/>
      <c r="L44" s="40"/>
    </row>
    <row r="45" ht="12.75" customHeight="1">
      <c r="A45" s="39"/>
      <c r="B45" s="40"/>
      <c r="C45" s="39"/>
      <c r="D45" s="39"/>
      <c r="E45" s="39"/>
      <c r="F45" s="39"/>
      <c r="G45" s="39"/>
      <c r="H45" s="39"/>
      <c r="I45" s="39"/>
      <c r="J45" s="40"/>
      <c r="K45" s="40"/>
      <c r="L45" s="40"/>
    </row>
    <row r="46" ht="12.75" customHeight="1">
      <c r="A46" s="39"/>
      <c r="B46" s="40"/>
      <c r="C46" s="39"/>
      <c r="D46" s="39"/>
      <c r="E46" s="39"/>
      <c r="F46" s="39"/>
      <c r="G46" s="39"/>
      <c r="H46" s="39"/>
      <c r="I46" s="39"/>
      <c r="J46" s="40"/>
      <c r="K46" s="40"/>
      <c r="L46" s="40"/>
    </row>
    <row r="47" ht="12.75" customHeight="1">
      <c r="A47" s="39"/>
      <c r="B47" s="40"/>
      <c r="C47" s="39"/>
      <c r="D47" s="39"/>
      <c r="E47" s="39"/>
      <c r="F47" s="39"/>
      <c r="G47" s="39"/>
      <c r="H47" s="39"/>
      <c r="I47" s="39"/>
      <c r="J47" s="40"/>
      <c r="K47" s="40"/>
      <c r="L47" s="40"/>
    </row>
    <row r="48" ht="12.75" customHeight="1">
      <c r="A48" s="39"/>
      <c r="B48" s="40"/>
      <c r="C48" s="39"/>
      <c r="D48" s="39"/>
      <c r="E48" s="39"/>
      <c r="F48" s="39"/>
      <c r="G48" s="39"/>
      <c r="H48" s="39"/>
      <c r="I48" s="39"/>
      <c r="J48" s="40"/>
      <c r="K48" s="40"/>
      <c r="L48" s="40"/>
    </row>
    <row r="49" ht="12.75" customHeight="1">
      <c r="A49" s="39"/>
      <c r="B49" s="40"/>
      <c r="C49" s="39"/>
      <c r="D49" s="39"/>
      <c r="E49" s="39"/>
      <c r="F49" s="39"/>
      <c r="G49" s="39"/>
      <c r="H49" s="39"/>
      <c r="I49" s="39"/>
      <c r="J49" s="40"/>
      <c r="K49" s="40"/>
      <c r="L49" s="40"/>
    </row>
    <row r="50" ht="12.75" customHeight="1">
      <c r="A50" s="39"/>
      <c r="B50" s="40"/>
      <c r="C50" s="39"/>
      <c r="D50" s="39"/>
      <c r="E50" s="39"/>
      <c r="F50" s="39"/>
      <c r="G50" s="39"/>
      <c r="H50" s="39"/>
      <c r="I50" s="39"/>
      <c r="J50" s="40"/>
      <c r="K50" s="40"/>
      <c r="L50" s="40"/>
    </row>
    <row r="51" ht="12.75" customHeight="1">
      <c r="A51" s="39"/>
      <c r="B51" s="40"/>
      <c r="C51" s="39"/>
      <c r="D51" s="39"/>
      <c r="E51" s="39"/>
      <c r="F51" s="39"/>
      <c r="G51" s="39"/>
      <c r="H51" s="39"/>
      <c r="I51" s="39"/>
      <c r="J51" s="40"/>
      <c r="K51" s="40"/>
      <c r="L51" s="40"/>
    </row>
    <row r="52" ht="12.75" customHeight="1">
      <c r="A52" s="39"/>
      <c r="B52" s="40"/>
      <c r="C52" s="39"/>
      <c r="D52" s="39"/>
      <c r="E52" s="39"/>
      <c r="F52" s="39"/>
      <c r="G52" s="39"/>
      <c r="H52" s="39"/>
      <c r="I52" s="39"/>
      <c r="J52" s="40"/>
      <c r="K52" s="40"/>
      <c r="L52" s="40"/>
    </row>
    <row r="53" ht="12.75" customHeight="1">
      <c r="A53" s="39"/>
      <c r="B53" s="40"/>
      <c r="C53" s="39"/>
      <c r="D53" s="39"/>
      <c r="E53" s="39"/>
      <c r="F53" s="39"/>
      <c r="G53" s="39"/>
      <c r="H53" s="39"/>
      <c r="I53" s="39"/>
      <c r="J53" s="40"/>
      <c r="K53" s="40"/>
      <c r="L53" s="40"/>
    </row>
    <row r="54" ht="12.75" customHeight="1">
      <c r="A54" s="39"/>
      <c r="B54" s="40"/>
      <c r="C54" s="39"/>
      <c r="D54" s="39"/>
      <c r="E54" s="39"/>
      <c r="F54" s="39"/>
      <c r="G54" s="39"/>
      <c r="H54" s="39"/>
      <c r="I54" s="39"/>
      <c r="J54" s="40"/>
      <c r="K54" s="40"/>
      <c r="L54" s="40"/>
    </row>
    <row r="55" ht="12.75" customHeight="1">
      <c r="A55" s="39"/>
      <c r="B55" s="40"/>
      <c r="C55" s="39"/>
      <c r="D55" s="39"/>
      <c r="E55" s="39"/>
      <c r="F55" s="39"/>
      <c r="G55" s="39"/>
      <c r="H55" s="39"/>
      <c r="I55" s="39"/>
      <c r="J55" s="40"/>
      <c r="K55" s="40"/>
      <c r="L55" s="40"/>
    </row>
    <row r="56" ht="12.75" customHeight="1">
      <c r="A56" s="39"/>
      <c r="B56" s="40"/>
      <c r="C56" s="39"/>
      <c r="D56" s="39"/>
      <c r="E56" s="39"/>
      <c r="F56" s="39"/>
      <c r="G56" s="39"/>
      <c r="H56" s="39"/>
      <c r="I56" s="39"/>
      <c r="J56" s="40"/>
      <c r="K56" s="40"/>
      <c r="L56" s="40"/>
    </row>
    <row r="57" ht="12.75" customHeight="1">
      <c r="A57" s="39"/>
      <c r="B57" s="40"/>
      <c r="C57" s="39"/>
      <c r="D57" s="39"/>
      <c r="E57" s="39"/>
      <c r="F57" s="39"/>
      <c r="G57" s="39"/>
      <c r="H57" s="39"/>
      <c r="I57" s="39"/>
      <c r="J57" s="40"/>
      <c r="K57" s="40"/>
      <c r="L57" s="40"/>
    </row>
    <row r="58" ht="12.75" customHeight="1">
      <c r="A58" s="39"/>
      <c r="B58" s="40"/>
      <c r="C58" s="39"/>
      <c r="D58" s="39"/>
      <c r="E58" s="39"/>
      <c r="F58" s="39"/>
      <c r="G58" s="39"/>
      <c r="H58" s="39"/>
      <c r="I58" s="39"/>
      <c r="J58" s="40"/>
      <c r="K58" s="40"/>
      <c r="L58" s="40"/>
    </row>
    <row r="59" ht="12.75" customHeight="1">
      <c r="A59" s="39"/>
      <c r="B59" s="40"/>
      <c r="C59" s="39"/>
      <c r="D59" s="39"/>
      <c r="E59" s="39"/>
      <c r="F59" s="39"/>
      <c r="G59" s="39"/>
      <c r="H59" s="39"/>
      <c r="I59" s="39"/>
      <c r="J59" s="40"/>
      <c r="K59" s="40"/>
      <c r="L59" s="40"/>
    </row>
    <row r="60" ht="12.75" customHeight="1">
      <c r="A60" s="39"/>
      <c r="B60" s="40"/>
      <c r="C60" s="39"/>
      <c r="D60" s="39"/>
      <c r="E60" s="39"/>
      <c r="F60" s="39"/>
      <c r="G60" s="39"/>
      <c r="H60" s="39"/>
      <c r="I60" s="39"/>
      <c r="J60" s="40"/>
      <c r="K60" s="40"/>
      <c r="L60" s="40"/>
    </row>
    <row r="61" ht="12.75" customHeight="1">
      <c r="A61" s="39"/>
      <c r="B61" s="40"/>
      <c r="C61" s="39"/>
      <c r="D61" s="39"/>
      <c r="E61" s="39"/>
      <c r="F61" s="39"/>
      <c r="G61" s="39"/>
      <c r="H61" s="39"/>
      <c r="I61" s="39"/>
      <c r="J61" s="40"/>
      <c r="K61" s="40"/>
      <c r="L61" s="40"/>
    </row>
    <row r="62" ht="12.75" customHeight="1">
      <c r="A62" s="39"/>
      <c r="B62" s="40"/>
      <c r="C62" s="39"/>
      <c r="D62" s="39"/>
      <c r="E62" s="39"/>
      <c r="F62" s="39"/>
      <c r="G62" s="39"/>
      <c r="H62" s="39"/>
      <c r="I62" s="39"/>
      <c r="J62" s="40"/>
      <c r="K62" s="40"/>
      <c r="L62" s="40"/>
    </row>
    <row r="63" ht="12.75" customHeight="1">
      <c r="A63" s="39"/>
      <c r="B63" s="40"/>
      <c r="C63" s="39"/>
      <c r="D63" s="39"/>
      <c r="E63" s="39"/>
      <c r="F63" s="39"/>
      <c r="G63" s="39"/>
      <c r="H63" s="39"/>
      <c r="I63" s="39"/>
      <c r="J63" s="40"/>
      <c r="K63" s="40"/>
      <c r="L63" s="40"/>
    </row>
    <row r="64" ht="12.75" customHeight="1">
      <c r="A64" s="39"/>
      <c r="B64" s="40"/>
      <c r="C64" s="39"/>
      <c r="D64" s="39"/>
      <c r="E64" s="39"/>
      <c r="F64" s="39"/>
      <c r="G64" s="39"/>
      <c r="H64" s="39"/>
      <c r="I64" s="39"/>
      <c r="J64" s="40"/>
      <c r="K64" s="40"/>
      <c r="L64" s="40"/>
    </row>
    <row r="65" ht="12.75" customHeight="1">
      <c r="A65" s="39"/>
      <c r="B65" s="40"/>
      <c r="C65" s="39"/>
      <c r="D65" s="39"/>
      <c r="E65" s="39"/>
      <c r="F65" s="39"/>
      <c r="G65" s="39"/>
      <c r="H65" s="39"/>
      <c r="I65" s="39"/>
      <c r="J65" s="40"/>
      <c r="K65" s="40"/>
      <c r="L65" s="40"/>
    </row>
    <row r="66" ht="12.75" customHeight="1">
      <c r="A66" s="39"/>
      <c r="B66" s="40"/>
      <c r="C66" s="39"/>
      <c r="D66" s="39"/>
      <c r="E66" s="39"/>
      <c r="F66" s="39"/>
      <c r="G66" s="39"/>
      <c r="H66" s="39"/>
      <c r="I66" s="39"/>
      <c r="J66" s="40"/>
      <c r="K66" s="40"/>
      <c r="L66" s="40"/>
    </row>
    <row r="67" ht="12.75" customHeight="1">
      <c r="A67" s="39"/>
      <c r="B67" s="40"/>
      <c r="C67" s="39"/>
      <c r="D67" s="39"/>
      <c r="E67" s="39"/>
      <c r="F67" s="39"/>
      <c r="G67" s="39"/>
      <c r="H67" s="39"/>
      <c r="I67" s="39"/>
      <c r="J67" s="40"/>
      <c r="K67" s="40"/>
      <c r="L67" s="40"/>
    </row>
    <row r="68" ht="12.75" customHeight="1">
      <c r="A68" s="39"/>
      <c r="B68" s="40"/>
      <c r="C68" s="39"/>
      <c r="D68" s="39"/>
      <c r="E68" s="39"/>
      <c r="F68" s="39"/>
      <c r="G68" s="39"/>
      <c r="H68" s="39"/>
      <c r="I68" s="39"/>
      <c r="J68" s="40"/>
      <c r="K68" s="40"/>
      <c r="L68" s="40"/>
    </row>
    <row r="69" ht="12.75" customHeight="1">
      <c r="A69" s="39"/>
      <c r="B69" s="40"/>
      <c r="C69" s="39"/>
      <c r="D69" s="39"/>
      <c r="E69" s="39"/>
      <c r="F69" s="39"/>
      <c r="G69" s="39"/>
      <c r="H69" s="39"/>
      <c r="I69" s="39"/>
      <c r="J69" s="40"/>
      <c r="K69" s="40"/>
      <c r="L69" s="40"/>
    </row>
    <row r="70" ht="12.75" customHeight="1">
      <c r="A70" s="39"/>
      <c r="B70" s="40"/>
      <c r="C70" s="39"/>
      <c r="D70" s="39"/>
      <c r="E70" s="39"/>
      <c r="F70" s="39"/>
      <c r="G70" s="39"/>
      <c r="H70" s="39"/>
      <c r="I70" s="39"/>
      <c r="J70" s="40"/>
      <c r="K70" s="40"/>
      <c r="L70" s="40"/>
    </row>
    <row r="71" ht="12.75" customHeight="1">
      <c r="A71" s="39"/>
      <c r="B71" s="40"/>
      <c r="C71" s="39"/>
      <c r="D71" s="39"/>
      <c r="E71" s="39"/>
      <c r="F71" s="39"/>
      <c r="G71" s="39"/>
      <c r="H71" s="39"/>
      <c r="I71" s="39"/>
      <c r="J71" s="40"/>
      <c r="K71" s="40"/>
      <c r="L71" s="40"/>
    </row>
    <row r="72" ht="12.75" customHeight="1">
      <c r="A72" s="39"/>
      <c r="B72" s="40"/>
      <c r="C72" s="39"/>
      <c r="D72" s="39"/>
      <c r="E72" s="39"/>
      <c r="F72" s="39"/>
      <c r="G72" s="39"/>
      <c r="H72" s="39"/>
      <c r="I72" s="39"/>
      <c r="J72" s="40"/>
      <c r="K72" s="40"/>
      <c r="L72" s="40"/>
    </row>
    <row r="73" ht="12.75" customHeight="1">
      <c r="A73" s="39"/>
      <c r="B73" s="40"/>
      <c r="C73" s="39"/>
      <c r="D73" s="39"/>
      <c r="E73" s="39"/>
      <c r="F73" s="39"/>
      <c r="G73" s="39"/>
      <c r="H73" s="39"/>
      <c r="I73" s="39"/>
      <c r="J73" s="40"/>
      <c r="K73" s="40"/>
      <c r="L73" s="40"/>
    </row>
    <row r="74" ht="12.75" customHeight="1">
      <c r="A74" s="39"/>
      <c r="B74" s="40"/>
      <c r="C74" s="39"/>
      <c r="D74" s="39"/>
      <c r="E74" s="39"/>
      <c r="F74" s="39"/>
      <c r="G74" s="39"/>
      <c r="H74" s="39"/>
      <c r="I74" s="39"/>
      <c r="J74" s="40"/>
      <c r="K74" s="40"/>
      <c r="L74" s="40"/>
    </row>
    <row r="75" ht="12.75" customHeight="1">
      <c r="A75" s="39"/>
      <c r="B75" s="40"/>
      <c r="C75" s="39"/>
      <c r="D75" s="39"/>
      <c r="E75" s="39"/>
      <c r="F75" s="39"/>
      <c r="G75" s="39"/>
      <c r="H75" s="39"/>
      <c r="I75" s="39"/>
      <c r="J75" s="40"/>
      <c r="K75" s="40"/>
      <c r="L75" s="40"/>
    </row>
    <row r="76" ht="12.75" customHeight="1">
      <c r="A76" s="39"/>
      <c r="B76" s="40"/>
      <c r="C76" s="39"/>
      <c r="D76" s="39"/>
      <c r="E76" s="39"/>
      <c r="F76" s="39"/>
      <c r="G76" s="39"/>
      <c r="H76" s="39"/>
      <c r="I76" s="39"/>
      <c r="J76" s="40"/>
      <c r="K76" s="40"/>
      <c r="L76" s="40"/>
    </row>
    <row r="77" ht="12.75" customHeight="1">
      <c r="A77" s="39"/>
      <c r="B77" s="40"/>
      <c r="C77" s="39"/>
      <c r="D77" s="39"/>
      <c r="E77" s="39"/>
      <c r="F77" s="39"/>
      <c r="G77" s="39"/>
      <c r="H77" s="39"/>
      <c r="I77" s="39"/>
      <c r="J77" s="40"/>
      <c r="K77" s="40"/>
      <c r="L77" s="40"/>
    </row>
    <row r="78" ht="12.75" customHeight="1">
      <c r="A78" s="39"/>
      <c r="B78" s="40"/>
      <c r="C78" s="39"/>
      <c r="D78" s="39"/>
      <c r="E78" s="39"/>
      <c r="F78" s="39"/>
      <c r="G78" s="39"/>
      <c r="H78" s="39"/>
      <c r="I78" s="39"/>
      <c r="J78" s="40"/>
      <c r="K78" s="40"/>
      <c r="L78" s="40"/>
    </row>
    <row r="79" ht="12.75" customHeight="1">
      <c r="A79" s="39"/>
      <c r="B79" s="40"/>
      <c r="C79" s="39"/>
      <c r="D79" s="39"/>
      <c r="E79" s="39"/>
      <c r="F79" s="39"/>
      <c r="G79" s="39"/>
      <c r="H79" s="39"/>
      <c r="I79" s="39"/>
      <c r="J79" s="40"/>
      <c r="K79" s="40"/>
      <c r="L79" s="40"/>
    </row>
    <row r="80" ht="12.75" customHeight="1">
      <c r="A80" s="39"/>
      <c r="B80" s="40"/>
      <c r="C80" s="39"/>
      <c r="D80" s="39"/>
      <c r="E80" s="39"/>
      <c r="F80" s="39"/>
      <c r="G80" s="39"/>
      <c r="H80" s="39"/>
      <c r="I80" s="39"/>
      <c r="J80" s="40"/>
      <c r="K80" s="40"/>
      <c r="L80" s="40"/>
    </row>
    <row r="81" ht="12.75" customHeight="1">
      <c r="A81" s="39"/>
      <c r="B81" s="40"/>
      <c r="C81" s="39"/>
      <c r="D81" s="39"/>
      <c r="E81" s="39"/>
      <c r="F81" s="39"/>
      <c r="G81" s="39"/>
      <c r="H81" s="39"/>
      <c r="I81" s="39"/>
      <c r="J81" s="40"/>
      <c r="K81" s="40"/>
      <c r="L81" s="40"/>
    </row>
    <row r="82" ht="12.75" customHeight="1">
      <c r="A82" s="39"/>
      <c r="B82" s="40"/>
      <c r="C82" s="39"/>
      <c r="D82" s="39"/>
      <c r="E82" s="39"/>
      <c r="F82" s="39"/>
      <c r="G82" s="39"/>
      <c r="H82" s="39"/>
      <c r="I82" s="39"/>
      <c r="J82" s="40"/>
      <c r="K82" s="40"/>
      <c r="L82" s="40"/>
    </row>
    <row r="83" ht="12.75" customHeight="1">
      <c r="A83" s="39"/>
      <c r="B83" s="40"/>
      <c r="C83" s="39"/>
      <c r="D83" s="39"/>
      <c r="E83" s="39"/>
      <c r="F83" s="39"/>
      <c r="G83" s="39"/>
      <c r="H83" s="39"/>
      <c r="I83" s="39"/>
      <c r="J83" s="40"/>
      <c r="K83" s="40"/>
      <c r="L83" s="40"/>
    </row>
    <row r="84" ht="12.75" customHeight="1">
      <c r="A84" s="39"/>
      <c r="B84" s="40"/>
      <c r="C84" s="39"/>
      <c r="D84" s="39"/>
      <c r="E84" s="39"/>
      <c r="F84" s="39"/>
      <c r="G84" s="39"/>
      <c r="H84" s="39"/>
      <c r="I84" s="39"/>
      <c r="J84" s="40"/>
      <c r="K84" s="40"/>
      <c r="L84" s="40"/>
    </row>
    <row r="85" ht="12.75" customHeight="1">
      <c r="A85" s="39"/>
      <c r="B85" s="40"/>
      <c r="C85" s="39"/>
      <c r="D85" s="39"/>
      <c r="E85" s="39"/>
      <c r="F85" s="39"/>
      <c r="G85" s="39"/>
      <c r="H85" s="39"/>
      <c r="I85" s="39"/>
      <c r="J85" s="40"/>
      <c r="K85" s="40"/>
      <c r="L85" s="40"/>
    </row>
    <row r="86" ht="12.75" customHeight="1">
      <c r="A86" s="39"/>
      <c r="B86" s="40"/>
      <c r="C86" s="39"/>
      <c r="D86" s="39"/>
      <c r="E86" s="39"/>
      <c r="F86" s="39"/>
      <c r="G86" s="39"/>
      <c r="H86" s="39"/>
      <c r="I86" s="39"/>
      <c r="J86" s="40"/>
      <c r="K86" s="40"/>
      <c r="L86" s="40"/>
    </row>
    <row r="87" ht="12.75" customHeight="1">
      <c r="A87" s="39"/>
      <c r="B87" s="40"/>
      <c r="C87" s="39"/>
      <c r="D87" s="39"/>
      <c r="E87" s="39"/>
      <c r="F87" s="39"/>
      <c r="G87" s="39"/>
      <c r="H87" s="39"/>
      <c r="I87" s="39"/>
      <c r="J87" s="40"/>
      <c r="K87" s="40"/>
      <c r="L87" s="40"/>
    </row>
    <row r="88" ht="12.75" customHeight="1">
      <c r="A88" s="39"/>
      <c r="B88" s="40"/>
      <c r="C88" s="39"/>
      <c r="D88" s="39"/>
      <c r="E88" s="39"/>
      <c r="F88" s="39"/>
      <c r="G88" s="39"/>
      <c r="H88" s="39"/>
      <c r="I88" s="39"/>
      <c r="J88" s="40"/>
      <c r="K88" s="40"/>
      <c r="L88" s="40"/>
    </row>
    <row r="89" ht="12.75" customHeight="1">
      <c r="A89" s="39"/>
      <c r="B89" s="40"/>
      <c r="C89" s="39"/>
      <c r="D89" s="39"/>
      <c r="E89" s="39"/>
      <c r="F89" s="39"/>
      <c r="G89" s="39"/>
      <c r="H89" s="39"/>
      <c r="I89" s="39"/>
      <c r="J89" s="40"/>
      <c r="K89" s="40"/>
      <c r="L89" s="40"/>
    </row>
    <row r="90" ht="12.75" customHeight="1">
      <c r="A90" s="39"/>
      <c r="B90" s="40"/>
      <c r="C90" s="39"/>
      <c r="D90" s="39"/>
      <c r="E90" s="39"/>
      <c r="F90" s="39"/>
      <c r="G90" s="39"/>
      <c r="H90" s="39"/>
      <c r="I90" s="39"/>
      <c r="J90" s="40"/>
      <c r="K90" s="40"/>
      <c r="L90" s="40"/>
    </row>
    <row r="91" ht="12.75" customHeight="1">
      <c r="A91" s="39"/>
      <c r="B91" s="40"/>
      <c r="C91" s="39"/>
      <c r="D91" s="39"/>
      <c r="E91" s="39"/>
      <c r="F91" s="39"/>
      <c r="G91" s="39"/>
      <c r="H91" s="39"/>
      <c r="I91" s="39"/>
      <c r="J91" s="40"/>
      <c r="K91" s="40"/>
      <c r="L91" s="40"/>
    </row>
    <row r="92" ht="12.75" customHeight="1">
      <c r="A92" s="39"/>
      <c r="B92" s="40"/>
      <c r="C92" s="39"/>
      <c r="D92" s="39"/>
      <c r="E92" s="39"/>
      <c r="F92" s="39"/>
      <c r="G92" s="39"/>
      <c r="H92" s="39"/>
      <c r="I92" s="39"/>
      <c r="J92" s="40"/>
      <c r="K92" s="40"/>
      <c r="L92" s="40"/>
    </row>
    <row r="93" ht="12.75" customHeight="1">
      <c r="A93" s="39"/>
      <c r="B93" s="40"/>
      <c r="C93" s="39"/>
      <c r="D93" s="39"/>
      <c r="E93" s="39"/>
      <c r="F93" s="39"/>
      <c r="G93" s="39"/>
      <c r="H93" s="39"/>
      <c r="I93" s="39"/>
      <c r="J93" s="40"/>
      <c r="K93" s="40"/>
      <c r="L93" s="40"/>
    </row>
    <row r="94" ht="12.75" customHeight="1">
      <c r="A94" s="39"/>
      <c r="B94" s="40"/>
      <c r="C94" s="39"/>
      <c r="D94" s="39"/>
      <c r="E94" s="39"/>
      <c r="F94" s="39"/>
      <c r="G94" s="39"/>
      <c r="H94" s="39"/>
      <c r="I94" s="39"/>
      <c r="J94" s="40"/>
      <c r="K94" s="40"/>
      <c r="L94" s="40"/>
    </row>
    <row r="95" ht="12.75" customHeight="1">
      <c r="A95" s="39"/>
      <c r="B95" s="40"/>
      <c r="C95" s="39"/>
      <c r="D95" s="39"/>
      <c r="E95" s="39"/>
      <c r="F95" s="39"/>
      <c r="G95" s="39"/>
      <c r="H95" s="39"/>
      <c r="I95" s="39"/>
      <c r="J95" s="40"/>
      <c r="K95" s="40"/>
      <c r="L95" s="40"/>
    </row>
    <row r="96" ht="12.75" customHeight="1">
      <c r="A96" s="39"/>
      <c r="B96" s="40"/>
      <c r="C96" s="39"/>
      <c r="D96" s="39"/>
      <c r="E96" s="39"/>
      <c r="F96" s="39"/>
      <c r="G96" s="39"/>
      <c r="H96" s="39"/>
      <c r="I96" s="39"/>
      <c r="J96" s="40"/>
      <c r="K96" s="40"/>
      <c r="L96" s="40"/>
    </row>
    <row r="97" ht="12.75" customHeight="1">
      <c r="A97" s="39"/>
      <c r="B97" s="40"/>
      <c r="C97" s="39"/>
      <c r="D97" s="39"/>
      <c r="E97" s="39"/>
      <c r="F97" s="39"/>
      <c r="G97" s="39"/>
      <c r="H97" s="39"/>
      <c r="I97" s="39"/>
      <c r="J97" s="40"/>
      <c r="K97" s="40"/>
      <c r="L97" s="40"/>
    </row>
    <row r="98" ht="12.75" customHeight="1">
      <c r="A98" s="39"/>
      <c r="B98" s="40"/>
      <c r="C98" s="39"/>
      <c r="D98" s="39"/>
      <c r="E98" s="39"/>
      <c r="F98" s="39"/>
      <c r="G98" s="39"/>
      <c r="H98" s="39"/>
      <c r="I98" s="39"/>
      <c r="J98" s="40"/>
      <c r="K98" s="40"/>
      <c r="L98" s="40"/>
    </row>
    <row r="99" ht="12.75" customHeight="1">
      <c r="A99" s="39"/>
      <c r="B99" s="40"/>
      <c r="C99" s="39"/>
      <c r="D99" s="39"/>
      <c r="E99" s="39"/>
      <c r="F99" s="39"/>
      <c r="G99" s="39"/>
      <c r="H99" s="39"/>
      <c r="I99" s="39"/>
      <c r="J99" s="40"/>
      <c r="K99" s="40"/>
      <c r="L99" s="40"/>
    </row>
    <row r="100" ht="12.75" customHeight="1">
      <c r="A100" s="39"/>
      <c r="B100" s="40"/>
      <c r="C100" s="39"/>
      <c r="D100" s="39"/>
      <c r="E100" s="39"/>
      <c r="F100" s="39"/>
      <c r="G100" s="39"/>
      <c r="H100" s="39"/>
      <c r="I100" s="39"/>
      <c r="J100" s="40"/>
      <c r="K100" s="40"/>
      <c r="L100" s="40"/>
    </row>
    <row r="101" ht="12.75" customHeight="1">
      <c r="A101" s="39"/>
      <c r="B101" s="40"/>
      <c r="C101" s="39"/>
      <c r="D101" s="39"/>
      <c r="E101" s="39"/>
      <c r="F101" s="39"/>
      <c r="G101" s="39"/>
      <c r="H101" s="39"/>
      <c r="I101" s="39"/>
      <c r="J101" s="40"/>
      <c r="K101" s="40"/>
      <c r="L101" s="40"/>
    </row>
    <row r="102" ht="12.75" customHeight="1">
      <c r="A102" s="39"/>
      <c r="B102" s="40"/>
      <c r="C102" s="39"/>
      <c r="D102" s="39"/>
      <c r="E102" s="39"/>
      <c r="F102" s="39"/>
      <c r="G102" s="39"/>
      <c r="H102" s="39"/>
      <c r="I102" s="39"/>
      <c r="J102" s="40"/>
      <c r="K102" s="40"/>
      <c r="L102" s="40"/>
    </row>
    <row r="103" ht="12.75" customHeight="1">
      <c r="A103" s="39"/>
      <c r="B103" s="40"/>
      <c r="C103" s="39"/>
      <c r="D103" s="39"/>
      <c r="E103" s="39"/>
      <c r="F103" s="39"/>
      <c r="G103" s="39"/>
      <c r="H103" s="39"/>
      <c r="I103" s="39"/>
      <c r="J103" s="40"/>
      <c r="K103" s="40"/>
      <c r="L103" s="40"/>
    </row>
    <row r="104" ht="12.75" customHeight="1">
      <c r="A104" s="39"/>
      <c r="B104" s="40"/>
      <c r="C104" s="39"/>
      <c r="D104" s="39"/>
      <c r="E104" s="39"/>
      <c r="F104" s="39"/>
      <c r="G104" s="39"/>
      <c r="H104" s="39"/>
      <c r="I104" s="39"/>
      <c r="J104" s="40"/>
      <c r="K104" s="40"/>
      <c r="L104" s="40"/>
    </row>
    <row r="105" ht="12.75" customHeight="1">
      <c r="A105" s="39"/>
      <c r="B105" s="40"/>
      <c r="C105" s="39"/>
      <c r="D105" s="39"/>
      <c r="E105" s="39"/>
      <c r="F105" s="39"/>
      <c r="G105" s="39"/>
      <c r="H105" s="39"/>
      <c r="I105" s="39"/>
      <c r="J105" s="40"/>
      <c r="K105" s="40"/>
      <c r="L105" s="40"/>
    </row>
    <row r="106" ht="12.75" customHeight="1">
      <c r="A106" s="39"/>
      <c r="B106" s="40"/>
      <c r="C106" s="39"/>
      <c r="D106" s="39"/>
      <c r="E106" s="39"/>
      <c r="F106" s="39"/>
      <c r="G106" s="39"/>
      <c r="H106" s="39"/>
      <c r="I106" s="39"/>
      <c r="J106" s="40"/>
      <c r="K106" s="40"/>
      <c r="L106" s="40"/>
    </row>
    <row r="107" ht="12.75" customHeight="1">
      <c r="A107" s="39"/>
      <c r="B107" s="40"/>
      <c r="C107" s="39"/>
      <c r="D107" s="39"/>
      <c r="E107" s="39"/>
      <c r="F107" s="39"/>
      <c r="G107" s="39"/>
      <c r="H107" s="39"/>
      <c r="I107" s="39"/>
      <c r="J107" s="40"/>
      <c r="K107" s="40"/>
      <c r="L107" s="40"/>
    </row>
    <row r="108" ht="12.75" customHeight="1">
      <c r="A108" s="39"/>
      <c r="B108" s="40"/>
      <c r="C108" s="39"/>
      <c r="D108" s="39"/>
      <c r="E108" s="39"/>
      <c r="F108" s="39"/>
      <c r="G108" s="39"/>
      <c r="H108" s="39"/>
      <c r="I108" s="39"/>
      <c r="J108" s="40"/>
      <c r="K108" s="40"/>
      <c r="L108" s="40"/>
    </row>
    <row r="109" ht="12.75" customHeight="1">
      <c r="A109" s="39"/>
      <c r="B109" s="40"/>
      <c r="C109" s="39"/>
      <c r="D109" s="39"/>
      <c r="E109" s="39"/>
      <c r="F109" s="39"/>
      <c r="G109" s="39"/>
      <c r="H109" s="39"/>
      <c r="I109" s="39"/>
      <c r="J109" s="40"/>
      <c r="K109" s="40"/>
      <c r="L109" s="40"/>
    </row>
    <row r="110" ht="12.75" customHeight="1">
      <c r="A110" s="39"/>
      <c r="B110" s="40"/>
      <c r="C110" s="39"/>
      <c r="D110" s="39"/>
      <c r="E110" s="39"/>
      <c r="F110" s="39"/>
      <c r="G110" s="39"/>
      <c r="H110" s="39"/>
      <c r="I110" s="39"/>
      <c r="J110" s="40"/>
      <c r="K110" s="40"/>
      <c r="L110" s="40"/>
    </row>
    <row r="111" ht="12.75" customHeight="1">
      <c r="A111" s="39"/>
      <c r="B111" s="40"/>
      <c r="C111" s="39"/>
      <c r="D111" s="39"/>
      <c r="E111" s="39"/>
      <c r="F111" s="39"/>
      <c r="G111" s="39"/>
      <c r="H111" s="39"/>
      <c r="I111" s="39"/>
      <c r="J111" s="40"/>
      <c r="K111" s="40"/>
      <c r="L111" s="40"/>
    </row>
    <row r="112" ht="12.75" customHeight="1">
      <c r="A112" s="39"/>
      <c r="B112" s="40"/>
      <c r="C112" s="39"/>
      <c r="D112" s="39"/>
      <c r="E112" s="39"/>
      <c r="F112" s="39"/>
      <c r="G112" s="39"/>
      <c r="H112" s="39"/>
      <c r="I112" s="39"/>
      <c r="J112" s="40"/>
      <c r="K112" s="40"/>
      <c r="L112" s="40"/>
    </row>
    <row r="113" ht="12.75" customHeight="1">
      <c r="A113" s="39"/>
      <c r="B113" s="40"/>
      <c r="C113" s="39"/>
      <c r="D113" s="39"/>
      <c r="E113" s="39"/>
      <c r="F113" s="39"/>
      <c r="G113" s="39"/>
      <c r="H113" s="39"/>
      <c r="I113" s="39"/>
      <c r="J113" s="40"/>
      <c r="K113" s="40"/>
      <c r="L113" s="40"/>
    </row>
    <row r="114" ht="12.75" customHeight="1">
      <c r="A114" s="39"/>
      <c r="B114" s="40"/>
      <c r="C114" s="39"/>
      <c r="D114" s="39"/>
      <c r="E114" s="39"/>
      <c r="F114" s="39"/>
      <c r="G114" s="39"/>
      <c r="H114" s="39"/>
      <c r="I114" s="39"/>
      <c r="J114" s="40"/>
      <c r="K114" s="40"/>
      <c r="L114" s="40"/>
    </row>
    <row r="115" ht="12.75" customHeight="1">
      <c r="A115" s="39"/>
      <c r="B115" s="40"/>
      <c r="C115" s="39"/>
      <c r="D115" s="39"/>
      <c r="E115" s="39"/>
      <c r="F115" s="39"/>
      <c r="G115" s="39"/>
      <c r="H115" s="39"/>
      <c r="I115" s="39"/>
      <c r="J115" s="40"/>
      <c r="K115" s="40"/>
      <c r="L115" s="40"/>
    </row>
    <row r="116" ht="12.75" customHeight="1">
      <c r="A116" s="39"/>
      <c r="B116" s="40"/>
      <c r="C116" s="39"/>
      <c r="D116" s="39"/>
      <c r="E116" s="39"/>
      <c r="F116" s="39"/>
      <c r="G116" s="39"/>
      <c r="H116" s="39"/>
      <c r="I116" s="39"/>
      <c r="J116" s="40"/>
      <c r="K116" s="40"/>
      <c r="L116" s="40"/>
    </row>
    <row r="117" ht="12.75" customHeight="1">
      <c r="A117" s="39"/>
      <c r="B117" s="40"/>
      <c r="C117" s="39"/>
      <c r="D117" s="39"/>
      <c r="E117" s="39"/>
      <c r="F117" s="39"/>
      <c r="G117" s="39"/>
      <c r="H117" s="39"/>
      <c r="I117" s="39"/>
      <c r="J117" s="40"/>
      <c r="K117" s="40"/>
      <c r="L117" s="40"/>
    </row>
    <row r="118" ht="12.75" customHeight="1">
      <c r="A118" s="39"/>
      <c r="B118" s="40"/>
      <c r="C118" s="39"/>
      <c r="D118" s="39"/>
      <c r="E118" s="39"/>
      <c r="F118" s="39"/>
      <c r="G118" s="39"/>
      <c r="H118" s="39"/>
      <c r="I118" s="39"/>
      <c r="J118" s="40"/>
      <c r="K118" s="40"/>
      <c r="L118" s="40"/>
    </row>
    <row r="119" ht="12.75" customHeight="1">
      <c r="A119" s="39"/>
      <c r="B119" s="40"/>
      <c r="C119" s="39"/>
      <c r="D119" s="39"/>
      <c r="E119" s="39"/>
      <c r="F119" s="39"/>
      <c r="G119" s="39"/>
      <c r="H119" s="39"/>
      <c r="I119" s="39"/>
      <c r="J119" s="40"/>
      <c r="K119" s="40"/>
      <c r="L119" s="40"/>
    </row>
    <row r="120" ht="12.75" customHeight="1">
      <c r="A120" s="39"/>
      <c r="B120" s="40"/>
      <c r="C120" s="39"/>
      <c r="D120" s="39"/>
      <c r="E120" s="39"/>
      <c r="F120" s="39"/>
      <c r="G120" s="39"/>
      <c r="H120" s="39"/>
      <c r="I120" s="39"/>
      <c r="J120" s="40"/>
      <c r="K120" s="40"/>
      <c r="L120" s="40"/>
    </row>
    <row r="121" ht="12.75" customHeight="1">
      <c r="A121" s="39"/>
      <c r="B121" s="40"/>
      <c r="C121" s="39"/>
      <c r="D121" s="39"/>
      <c r="E121" s="39"/>
      <c r="F121" s="39"/>
      <c r="G121" s="39"/>
      <c r="H121" s="39"/>
      <c r="I121" s="39"/>
      <c r="J121" s="40"/>
      <c r="K121" s="40"/>
      <c r="L121" s="40"/>
    </row>
    <row r="122" ht="12.75" customHeight="1">
      <c r="A122" s="39"/>
      <c r="B122" s="40"/>
      <c r="C122" s="39"/>
      <c r="D122" s="39"/>
      <c r="E122" s="39"/>
      <c r="F122" s="39"/>
      <c r="G122" s="39"/>
      <c r="H122" s="39"/>
      <c r="I122" s="39"/>
      <c r="J122" s="40"/>
      <c r="K122" s="40"/>
      <c r="L122" s="40"/>
    </row>
    <row r="123" ht="12.75" customHeight="1">
      <c r="A123" s="39"/>
      <c r="B123" s="40"/>
      <c r="C123" s="39"/>
      <c r="D123" s="39"/>
      <c r="E123" s="39"/>
      <c r="F123" s="39"/>
      <c r="G123" s="39"/>
      <c r="H123" s="39"/>
      <c r="I123" s="39"/>
      <c r="J123" s="40"/>
      <c r="K123" s="40"/>
      <c r="L123" s="40"/>
    </row>
    <row r="124" ht="12.75" customHeight="1">
      <c r="A124" s="39"/>
      <c r="B124" s="40"/>
      <c r="C124" s="39"/>
      <c r="D124" s="39"/>
      <c r="E124" s="39"/>
      <c r="F124" s="39"/>
      <c r="G124" s="39"/>
      <c r="H124" s="39"/>
      <c r="I124" s="39"/>
      <c r="J124" s="40"/>
      <c r="K124" s="40"/>
      <c r="L124" s="40"/>
    </row>
    <row r="125" ht="12.75" customHeight="1">
      <c r="A125" s="39"/>
      <c r="B125" s="40"/>
      <c r="C125" s="39"/>
      <c r="D125" s="39"/>
      <c r="E125" s="39"/>
      <c r="F125" s="39"/>
      <c r="G125" s="39"/>
      <c r="H125" s="39"/>
      <c r="I125" s="39"/>
      <c r="J125" s="40"/>
      <c r="K125" s="40"/>
      <c r="L125" s="40"/>
    </row>
    <row r="126" ht="12.75" customHeight="1">
      <c r="A126" s="39"/>
      <c r="B126" s="40"/>
      <c r="C126" s="39"/>
      <c r="D126" s="39"/>
      <c r="E126" s="39"/>
      <c r="F126" s="39"/>
      <c r="G126" s="39"/>
      <c r="H126" s="39"/>
      <c r="I126" s="39"/>
      <c r="J126" s="40"/>
      <c r="K126" s="40"/>
      <c r="L126" s="40"/>
    </row>
    <row r="127" ht="12.75" customHeight="1">
      <c r="A127" s="39"/>
      <c r="B127" s="40"/>
      <c r="C127" s="39"/>
      <c r="D127" s="39"/>
      <c r="E127" s="39"/>
      <c r="F127" s="39"/>
      <c r="G127" s="39"/>
      <c r="H127" s="39"/>
      <c r="I127" s="39"/>
      <c r="J127" s="40"/>
      <c r="K127" s="40"/>
      <c r="L127" s="40"/>
    </row>
    <row r="128" ht="12.75" customHeight="1">
      <c r="A128" s="39"/>
      <c r="B128" s="40"/>
      <c r="C128" s="39"/>
      <c r="D128" s="39"/>
      <c r="E128" s="39"/>
      <c r="F128" s="39"/>
      <c r="G128" s="39"/>
      <c r="H128" s="39"/>
      <c r="I128" s="39"/>
      <c r="J128" s="40"/>
      <c r="K128" s="40"/>
      <c r="L128" s="40"/>
    </row>
    <row r="129" ht="12.75" customHeight="1">
      <c r="A129" s="39"/>
      <c r="B129" s="40"/>
      <c r="C129" s="39"/>
      <c r="D129" s="39"/>
      <c r="E129" s="39"/>
      <c r="F129" s="39"/>
      <c r="G129" s="39"/>
      <c r="H129" s="39"/>
      <c r="I129" s="39"/>
      <c r="J129" s="40"/>
      <c r="K129" s="40"/>
      <c r="L129" s="40"/>
    </row>
    <row r="130" ht="12.75" customHeight="1">
      <c r="A130" s="39"/>
      <c r="B130" s="40"/>
      <c r="C130" s="39"/>
      <c r="D130" s="39"/>
      <c r="E130" s="39"/>
      <c r="F130" s="39"/>
      <c r="G130" s="39"/>
      <c r="H130" s="39"/>
      <c r="I130" s="39"/>
      <c r="J130" s="40"/>
      <c r="K130" s="40"/>
      <c r="L130" s="40"/>
    </row>
    <row r="131" ht="12.75" customHeight="1">
      <c r="A131" s="39"/>
      <c r="B131" s="40"/>
      <c r="C131" s="39"/>
      <c r="D131" s="39"/>
      <c r="E131" s="39"/>
      <c r="F131" s="39"/>
      <c r="G131" s="39"/>
      <c r="H131" s="39"/>
      <c r="I131" s="39"/>
      <c r="J131" s="40"/>
      <c r="K131" s="40"/>
      <c r="L131" s="40"/>
    </row>
    <row r="132" ht="12.75" customHeight="1">
      <c r="A132" s="39"/>
      <c r="B132" s="40"/>
      <c r="C132" s="39"/>
      <c r="D132" s="39"/>
      <c r="E132" s="39"/>
      <c r="F132" s="39"/>
      <c r="G132" s="39"/>
      <c r="H132" s="39"/>
      <c r="I132" s="39"/>
      <c r="J132" s="40"/>
      <c r="K132" s="40"/>
      <c r="L132" s="40"/>
    </row>
    <row r="133" ht="12.75" customHeight="1">
      <c r="A133" s="39"/>
      <c r="B133" s="40"/>
      <c r="C133" s="39"/>
      <c r="D133" s="39"/>
      <c r="E133" s="39"/>
      <c r="F133" s="39"/>
      <c r="G133" s="39"/>
      <c r="H133" s="39"/>
      <c r="I133" s="39"/>
      <c r="J133" s="40"/>
      <c r="K133" s="40"/>
      <c r="L133" s="40"/>
    </row>
    <row r="134" ht="12.75" customHeight="1">
      <c r="A134" s="39"/>
      <c r="B134" s="40"/>
      <c r="C134" s="39"/>
      <c r="D134" s="39"/>
      <c r="E134" s="39"/>
      <c r="F134" s="39"/>
      <c r="G134" s="39"/>
      <c r="H134" s="39"/>
      <c r="I134" s="39"/>
      <c r="J134" s="40"/>
      <c r="K134" s="40"/>
      <c r="L134" s="40"/>
    </row>
    <row r="135" ht="12.75" customHeight="1">
      <c r="A135" s="39"/>
      <c r="B135" s="40"/>
      <c r="C135" s="39"/>
      <c r="D135" s="39"/>
      <c r="E135" s="39"/>
      <c r="F135" s="39"/>
      <c r="G135" s="39"/>
      <c r="H135" s="39"/>
      <c r="I135" s="39"/>
      <c r="J135" s="40"/>
      <c r="K135" s="40"/>
      <c r="L135" s="40"/>
    </row>
    <row r="136" ht="12.75" customHeight="1">
      <c r="A136" s="39"/>
      <c r="B136" s="40"/>
      <c r="C136" s="39"/>
      <c r="D136" s="39"/>
      <c r="E136" s="39"/>
      <c r="F136" s="39"/>
      <c r="G136" s="39"/>
      <c r="H136" s="39"/>
      <c r="I136" s="39"/>
      <c r="J136" s="40"/>
      <c r="K136" s="40"/>
      <c r="L136" s="40"/>
    </row>
    <row r="137" ht="12.75" customHeight="1">
      <c r="A137" s="39"/>
      <c r="B137" s="40"/>
      <c r="C137" s="39"/>
      <c r="D137" s="39"/>
      <c r="E137" s="39"/>
      <c r="F137" s="39"/>
      <c r="G137" s="39"/>
      <c r="H137" s="39"/>
      <c r="I137" s="39"/>
      <c r="J137" s="40"/>
      <c r="K137" s="40"/>
      <c r="L137" s="40"/>
    </row>
    <row r="138" ht="12.75" customHeight="1">
      <c r="A138" s="39"/>
      <c r="B138" s="40"/>
      <c r="C138" s="39"/>
      <c r="D138" s="39"/>
      <c r="E138" s="39"/>
      <c r="F138" s="39"/>
      <c r="G138" s="39"/>
      <c r="H138" s="39"/>
      <c r="I138" s="39"/>
      <c r="J138" s="40"/>
      <c r="K138" s="40"/>
      <c r="L138" s="40"/>
    </row>
    <row r="139" ht="12.75" customHeight="1">
      <c r="A139" s="39"/>
      <c r="B139" s="40"/>
      <c r="C139" s="39"/>
      <c r="D139" s="39"/>
      <c r="E139" s="39"/>
      <c r="F139" s="39"/>
      <c r="G139" s="39"/>
      <c r="H139" s="39"/>
      <c r="I139" s="39"/>
      <c r="J139" s="40"/>
      <c r="K139" s="40"/>
      <c r="L139" s="40"/>
    </row>
    <row r="140" ht="12.75" customHeight="1">
      <c r="A140" s="39"/>
      <c r="B140" s="40"/>
      <c r="C140" s="39"/>
      <c r="D140" s="39"/>
      <c r="E140" s="39"/>
      <c r="F140" s="39"/>
      <c r="G140" s="39"/>
      <c r="H140" s="39"/>
      <c r="I140" s="39"/>
      <c r="J140" s="40"/>
      <c r="K140" s="40"/>
      <c r="L140" s="40"/>
    </row>
    <row r="141" ht="12.75" customHeight="1">
      <c r="A141" s="39"/>
      <c r="B141" s="40"/>
      <c r="C141" s="39"/>
      <c r="D141" s="39"/>
      <c r="E141" s="39"/>
      <c r="F141" s="39"/>
      <c r="G141" s="39"/>
      <c r="H141" s="39"/>
      <c r="I141" s="39"/>
      <c r="J141" s="40"/>
      <c r="K141" s="40"/>
      <c r="L141" s="40"/>
    </row>
    <row r="142" ht="12.75" customHeight="1">
      <c r="A142" s="39"/>
      <c r="B142" s="40"/>
      <c r="C142" s="39"/>
      <c r="D142" s="39"/>
      <c r="E142" s="39"/>
      <c r="F142" s="39"/>
      <c r="G142" s="39"/>
      <c r="H142" s="39"/>
      <c r="I142" s="39"/>
      <c r="J142" s="40"/>
      <c r="K142" s="40"/>
      <c r="L142" s="40"/>
    </row>
    <row r="143" ht="12.75" customHeight="1">
      <c r="A143" s="39"/>
      <c r="B143" s="40"/>
      <c r="C143" s="39"/>
      <c r="D143" s="39"/>
      <c r="E143" s="39"/>
      <c r="F143" s="39"/>
      <c r="G143" s="39"/>
      <c r="H143" s="39"/>
      <c r="I143" s="39"/>
      <c r="J143" s="40"/>
      <c r="K143" s="40"/>
      <c r="L143" s="40"/>
    </row>
    <row r="144" ht="12.75" customHeight="1">
      <c r="A144" s="39"/>
      <c r="B144" s="40"/>
      <c r="C144" s="39"/>
      <c r="D144" s="39"/>
      <c r="E144" s="39"/>
      <c r="F144" s="39"/>
      <c r="G144" s="39"/>
      <c r="H144" s="39"/>
      <c r="I144" s="39"/>
      <c r="J144" s="40"/>
      <c r="K144" s="40"/>
      <c r="L144" s="40"/>
    </row>
    <row r="145" ht="12.75" customHeight="1">
      <c r="A145" s="39"/>
      <c r="B145" s="40"/>
      <c r="C145" s="39"/>
      <c r="D145" s="39"/>
      <c r="E145" s="39"/>
      <c r="F145" s="39"/>
      <c r="G145" s="39"/>
      <c r="H145" s="39"/>
      <c r="I145" s="39"/>
      <c r="J145" s="40"/>
      <c r="K145" s="40"/>
      <c r="L145" s="40"/>
    </row>
    <row r="146" ht="12.75" customHeight="1">
      <c r="A146" s="39"/>
      <c r="B146" s="40"/>
      <c r="C146" s="39"/>
      <c r="D146" s="39"/>
      <c r="E146" s="39"/>
      <c r="F146" s="39"/>
      <c r="G146" s="39"/>
      <c r="H146" s="39"/>
      <c r="I146" s="39"/>
      <c r="J146" s="40"/>
      <c r="K146" s="40"/>
      <c r="L146" s="40"/>
    </row>
    <row r="147" ht="12.75" customHeight="1">
      <c r="A147" s="39"/>
      <c r="B147" s="40"/>
      <c r="C147" s="39"/>
      <c r="D147" s="39"/>
      <c r="E147" s="39"/>
      <c r="F147" s="39"/>
      <c r="G147" s="39"/>
      <c r="H147" s="39"/>
      <c r="I147" s="39"/>
      <c r="J147" s="40"/>
      <c r="K147" s="40"/>
      <c r="L147" s="40"/>
    </row>
    <row r="148" ht="12.75" customHeight="1">
      <c r="A148" s="39"/>
      <c r="B148" s="40"/>
      <c r="C148" s="39"/>
      <c r="D148" s="39"/>
      <c r="E148" s="39"/>
      <c r="F148" s="39"/>
      <c r="G148" s="39"/>
      <c r="H148" s="39"/>
      <c r="I148" s="39"/>
      <c r="J148" s="40"/>
      <c r="K148" s="40"/>
      <c r="L148" s="40"/>
    </row>
    <row r="149" ht="12.75" customHeight="1">
      <c r="A149" s="39"/>
      <c r="B149" s="40"/>
      <c r="C149" s="39"/>
      <c r="D149" s="39"/>
      <c r="E149" s="39"/>
      <c r="F149" s="39"/>
      <c r="G149" s="39"/>
      <c r="H149" s="39"/>
      <c r="I149" s="39"/>
      <c r="J149" s="40"/>
      <c r="K149" s="40"/>
      <c r="L149" s="40"/>
    </row>
    <row r="150" ht="12.75" customHeight="1">
      <c r="A150" s="39"/>
      <c r="B150" s="40"/>
      <c r="C150" s="39"/>
      <c r="D150" s="39"/>
      <c r="E150" s="39"/>
      <c r="F150" s="39"/>
      <c r="G150" s="39"/>
      <c r="H150" s="39"/>
      <c r="I150" s="39"/>
      <c r="J150" s="40"/>
      <c r="K150" s="40"/>
      <c r="L150" s="40"/>
    </row>
    <row r="151" ht="12.75" customHeight="1">
      <c r="A151" s="39"/>
      <c r="B151" s="40"/>
      <c r="C151" s="39"/>
      <c r="D151" s="39"/>
      <c r="E151" s="39"/>
      <c r="F151" s="39"/>
      <c r="G151" s="39"/>
      <c r="H151" s="39"/>
      <c r="I151" s="39"/>
      <c r="J151" s="40"/>
      <c r="K151" s="40"/>
      <c r="L151" s="40"/>
    </row>
    <row r="152" ht="12.75" customHeight="1">
      <c r="A152" s="39"/>
      <c r="B152" s="40"/>
      <c r="C152" s="39"/>
      <c r="D152" s="39"/>
      <c r="E152" s="39"/>
      <c r="F152" s="39"/>
      <c r="G152" s="39"/>
      <c r="H152" s="39"/>
      <c r="I152" s="39"/>
      <c r="J152" s="40"/>
      <c r="K152" s="40"/>
      <c r="L152" s="40"/>
    </row>
    <row r="153" ht="12.75" customHeight="1">
      <c r="A153" s="39"/>
      <c r="B153" s="40"/>
      <c r="C153" s="39"/>
      <c r="D153" s="39"/>
      <c r="E153" s="39"/>
      <c r="F153" s="39"/>
      <c r="G153" s="39"/>
      <c r="H153" s="39"/>
      <c r="I153" s="39"/>
      <c r="J153" s="40"/>
      <c r="K153" s="40"/>
      <c r="L153" s="40"/>
    </row>
    <row r="154" ht="12.75" customHeight="1">
      <c r="A154" s="39"/>
      <c r="B154" s="40"/>
      <c r="C154" s="39"/>
      <c r="D154" s="39"/>
      <c r="E154" s="39"/>
      <c r="F154" s="39"/>
      <c r="G154" s="39"/>
      <c r="H154" s="39"/>
      <c r="I154" s="39"/>
      <c r="J154" s="40"/>
      <c r="K154" s="40"/>
      <c r="L154" s="40"/>
    </row>
    <row r="155" ht="12.75" customHeight="1">
      <c r="A155" s="39"/>
      <c r="B155" s="40"/>
      <c r="C155" s="39"/>
      <c r="D155" s="39"/>
      <c r="E155" s="39"/>
      <c r="F155" s="39"/>
      <c r="G155" s="39"/>
      <c r="H155" s="39"/>
      <c r="I155" s="39"/>
      <c r="J155" s="40"/>
      <c r="K155" s="40"/>
      <c r="L155" s="40"/>
    </row>
    <row r="156" ht="12.75" customHeight="1">
      <c r="A156" s="39"/>
      <c r="B156" s="40"/>
      <c r="C156" s="39"/>
      <c r="D156" s="39"/>
      <c r="E156" s="39"/>
      <c r="F156" s="39"/>
      <c r="G156" s="39"/>
      <c r="H156" s="39"/>
      <c r="I156" s="39"/>
      <c r="J156" s="40"/>
      <c r="K156" s="40"/>
      <c r="L156" s="40"/>
    </row>
    <row r="157" ht="12.75" customHeight="1">
      <c r="A157" s="39"/>
      <c r="B157" s="40"/>
      <c r="C157" s="39"/>
      <c r="D157" s="39"/>
      <c r="E157" s="39"/>
      <c r="F157" s="39"/>
      <c r="G157" s="39"/>
      <c r="H157" s="39"/>
      <c r="I157" s="39"/>
      <c r="J157" s="40"/>
      <c r="K157" s="40"/>
      <c r="L157" s="40"/>
    </row>
    <row r="158" ht="12.75" customHeight="1">
      <c r="A158" s="39"/>
      <c r="B158" s="40"/>
      <c r="C158" s="39"/>
      <c r="D158" s="39"/>
      <c r="E158" s="39"/>
      <c r="F158" s="39"/>
      <c r="G158" s="39"/>
      <c r="H158" s="39"/>
      <c r="I158" s="39"/>
      <c r="J158" s="40"/>
      <c r="K158" s="40"/>
      <c r="L158" s="40"/>
    </row>
    <row r="159" ht="12.75" customHeight="1">
      <c r="A159" s="39"/>
      <c r="B159" s="40"/>
      <c r="C159" s="39"/>
      <c r="D159" s="39"/>
      <c r="E159" s="39"/>
      <c r="F159" s="39"/>
      <c r="G159" s="39"/>
      <c r="H159" s="39"/>
      <c r="I159" s="39"/>
      <c r="J159" s="40"/>
      <c r="K159" s="40"/>
      <c r="L159" s="40"/>
    </row>
    <row r="160" ht="12.75" customHeight="1">
      <c r="A160" s="39"/>
      <c r="B160" s="40"/>
      <c r="C160" s="39"/>
      <c r="D160" s="39"/>
      <c r="E160" s="39"/>
      <c r="F160" s="39"/>
      <c r="G160" s="39"/>
      <c r="H160" s="39"/>
      <c r="I160" s="39"/>
      <c r="J160" s="40"/>
      <c r="K160" s="40"/>
      <c r="L160" s="40"/>
    </row>
    <row r="161" ht="12.75" customHeight="1">
      <c r="A161" s="39"/>
      <c r="B161" s="40"/>
      <c r="C161" s="39"/>
      <c r="D161" s="39"/>
      <c r="E161" s="39"/>
      <c r="F161" s="39"/>
      <c r="G161" s="39"/>
      <c r="H161" s="39"/>
      <c r="I161" s="39"/>
      <c r="J161" s="40"/>
      <c r="K161" s="40"/>
      <c r="L161" s="40"/>
    </row>
    <row r="162" ht="12.75" customHeight="1">
      <c r="A162" s="39"/>
      <c r="B162" s="40"/>
      <c r="C162" s="39"/>
      <c r="D162" s="39"/>
      <c r="E162" s="39"/>
      <c r="F162" s="39"/>
      <c r="G162" s="39"/>
      <c r="H162" s="39"/>
      <c r="I162" s="39"/>
      <c r="J162" s="40"/>
      <c r="K162" s="40"/>
      <c r="L162" s="40"/>
    </row>
    <row r="163" ht="12.75" customHeight="1">
      <c r="A163" s="39"/>
      <c r="B163" s="40"/>
      <c r="C163" s="39"/>
      <c r="D163" s="39"/>
      <c r="E163" s="39"/>
      <c r="F163" s="39"/>
      <c r="G163" s="39"/>
      <c r="H163" s="39"/>
      <c r="I163" s="39"/>
      <c r="J163" s="40"/>
      <c r="K163" s="40"/>
      <c r="L163" s="40"/>
    </row>
    <row r="164" ht="12.75" customHeight="1">
      <c r="A164" s="39"/>
      <c r="B164" s="40"/>
      <c r="C164" s="39"/>
      <c r="D164" s="39"/>
      <c r="E164" s="39"/>
      <c r="F164" s="39"/>
      <c r="G164" s="39"/>
      <c r="H164" s="39"/>
      <c r="I164" s="39"/>
      <c r="J164" s="40"/>
      <c r="K164" s="40"/>
      <c r="L164" s="40"/>
    </row>
    <row r="165" ht="12.75" customHeight="1">
      <c r="A165" s="39"/>
      <c r="B165" s="40"/>
      <c r="C165" s="39"/>
      <c r="D165" s="39"/>
      <c r="E165" s="39"/>
      <c r="F165" s="39"/>
      <c r="G165" s="39"/>
      <c r="H165" s="39"/>
      <c r="I165" s="39"/>
      <c r="J165" s="40"/>
      <c r="K165" s="40"/>
      <c r="L165" s="40"/>
    </row>
    <row r="166" ht="12.75" customHeight="1">
      <c r="A166" s="39"/>
      <c r="B166" s="40"/>
      <c r="C166" s="39"/>
      <c r="D166" s="39"/>
      <c r="E166" s="39"/>
      <c r="F166" s="39"/>
      <c r="G166" s="39"/>
      <c r="H166" s="39"/>
      <c r="I166" s="39"/>
      <c r="J166" s="40"/>
      <c r="K166" s="40"/>
      <c r="L166" s="40"/>
    </row>
    <row r="167" ht="12.75" customHeight="1">
      <c r="A167" s="39"/>
      <c r="B167" s="40"/>
      <c r="C167" s="39"/>
      <c r="D167" s="39"/>
      <c r="E167" s="39"/>
      <c r="F167" s="39"/>
      <c r="G167" s="39"/>
      <c r="H167" s="39"/>
      <c r="I167" s="39"/>
      <c r="J167" s="40"/>
      <c r="K167" s="40"/>
      <c r="L167" s="40"/>
    </row>
    <row r="168" ht="12.75" customHeight="1">
      <c r="A168" s="39"/>
      <c r="B168" s="40"/>
      <c r="C168" s="39"/>
      <c r="D168" s="39"/>
      <c r="E168" s="39"/>
      <c r="F168" s="39"/>
      <c r="G168" s="39"/>
      <c r="H168" s="39"/>
      <c r="I168" s="39"/>
      <c r="J168" s="40"/>
      <c r="K168" s="40"/>
      <c r="L168" s="40"/>
    </row>
    <row r="169" ht="12.75" customHeight="1">
      <c r="A169" s="39"/>
      <c r="B169" s="40"/>
      <c r="C169" s="39"/>
      <c r="D169" s="39"/>
      <c r="E169" s="39"/>
      <c r="F169" s="39"/>
      <c r="G169" s="39"/>
      <c r="H169" s="39"/>
      <c r="I169" s="39"/>
      <c r="J169" s="40"/>
      <c r="K169" s="40"/>
      <c r="L169" s="40"/>
    </row>
    <row r="170" ht="12.75" customHeight="1">
      <c r="A170" s="39"/>
      <c r="B170" s="40"/>
      <c r="C170" s="39"/>
      <c r="D170" s="39"/>
      <c r="E170" s="39"/>
      <c r="F170" s="39"/>
      <c r="G170" s="39"/>
      <c r="H170" s="39"/>
      <c r="I170" s="39"/>
      <c r="J170" s="40"/>
      <c r="K170" s="40"/>
      <c r="L170" s="40"/>
    </row>
    <row r="171" ht="12.75" customHeight="1">
      <c r="A171" s="39"/>
      <c r="B171" s="40"/>
      <c r="C171" s="39"/>
      <c r="D171" s="39"/>
      <c r="E171" s="39"/>
      <c r="F171" s="39"/>
      <c r="G171" s="39"/>
      <c r="H171" s="39"/>
      <c r="I171" s="39"/>
      <c r="J171" s="40"/>
      <c r="K171" s="40"/>
      <c r="L171" s="40"/>
    </row>
    <row r="172" ht="12.75" customHeight="1">
      <c r="A172" s="39"/>
      <c r="B172" s="40"/>
      <c r="C172" s="39"/>
      <c r="D172" s="39"/>
      <c r="E172" s="39"/>
      <c r="F172" s="39"/>
      <c r="G172" s="39"/>
      <c r="H172" s="39"/>
      <c r="I172" s="39"/>
      <c r="J172" s="40"/>
      <c r="K172" s="40"/>
      <c r="L172" s="40"/>
    </row>
    <row r="173" ht="12.75" customHeight="1">
      <c r="A173" s="39"/>
      <c r="B173" s="40"/>
      <c r="C173" s="39"/>
      <c r="D173" s="39"/>
      <c r="E173" s="39"/>
      <c r="F173" s="39"/>
      <c r="G173" s="39"/>
      <c r="H173" s="39"/>
      <c r="I173" s="39"/>
      <c r="J173" s="40"/>
      <c r="K173" s="40"/>
      <c r="L173" s="40"/>
    </row>
    <row r="174" ht="12.75" customHeight="1">
      <c r="A174" s="39"/>
      <c r="B174" s="40"/>
      <c r="C174" s="39"/>
      <c r="D174" s="39"/>
      <c r="E174" s="39"/>
      <c r="F174" s="39"/>
      <c r="G174" s="39"/>
      <c r="H174" s="39"/>
      <c r="I174" s="39"/>
      <c r="J174" s="40"/>
      <c r="K174" s="40"/>
      <c r="L174" s="40"/>
    </row>
    <row r="175" ht="12.75" customHeight="1">
      <c r="A175" s="39"/>
      <c r="B175" s="40"/>
      <c r="C175" s="39"/>
      <c r="D175" s="39"/>
      <c r="E175" s="39"/>
      <c r="F175" s="39"/>
      <c r="G175" s="39"/>
      <c r="H175" s="39"/>
      <c r="I175" s="39"/>
      <c r="J175" s="40"/>
      <c r="K175" s="40"/>
      <c r="L175" s="40"/>
    </row>
    <row r="176" ht="12.75" customHeight="1">
      <c r="A176" s="39"/>
      <c r="B176" s="40"/>
      <c r="C176" s="39"/>
      <c r="D176" s="39"/>
      <c r="E176" s="39"/>
      <c r="F176" s="39"/>
      <c r="G176" s="39"/>
      <c r="H176" s="39"/>
      <c r="I176" s="39"/>
      <c r="J176" s="40"/>
      <c r="K176" s="40"/>
      <c r="L176" s="40"/>
    </row>
    <row r="177" ht="12.75" customHeight="1">
      <c r="A177" s="39"/>
      <c r="B177" s="40"/>
      <c r="C177" s="39"/>
      <c r="D177" s="39"/>
      <c r="E177" s="39"/>
      <c r="F177" s="39"/>
      <c r="G177" s="39"/>
      <c r="H177" s="39"/>
      <c r="I177" s="39"/>
      <c r="J177" s="40"/>
      <c r="K177" s="40"/>
      <c r="L177" s="40"/>
    </row>
    <row r="178" ht="12.75" customHeight="1">
      <c r="A178" s="39"/>
      <c r="B178" s="40"/>
      <c r="C178" s="39"/>
      <c r="D178" s="39"/>
      <c r="E178" s="39"/>
      <c r="F178" s="39"/>
      <c r="G178" s="39"/>
      <c r="H178" s="39"/>
      <c r="I178" s="39"/>
      <c r="J178" s="40"/>
      <c r="K178" s="40"/>
      <c r="L178" s="40"/>
    </row>
    <row r="179" ht="12.75" customHeight="1">
      <c r="A179" s="39"/>
      <c r="B179" s="40"/>
      <c r="C179" s="39"/>
      <c r="D179" s="39"/>
      <c r="E179" s="39"/>
      <c r="F179" s="39"/>
      <c r="G179" s="39"/>
      <c r="H179" s="39"/>
      <c r="I179" s="39"/>
      <c r="J179" s="40"/>
      <c r="K179" s="40"/>
      <c r="L179" s="40"/>
    </row>
    <row r="180" ht="12.75" customHeight="1">
      <c r="A180" s="39"/>
      <c r="B180" s="40"/>
      <c r="C180" s="39"/>
      <c r="D180" s="39"/>
      <c r="E180" s="39"/>
      <c r="F180" s="39"/>
      <c r="G180" s="39"/>
      <c r="H180" s="39"/>
      <c r="I180" s="39"/>
      <c r="J180" s="40"/>
      <c r="K180" s="40"/>
      <c r="L180" s="40"/>
    </row>
    <row r="181" ht="12.75" customHeight="1">
      <c r="A181" s="39"/>
      <c r="B181" s="40"/>
      <c r="C181" s="39"/>
      <c r="D181" s="39"/>
      <c r="E181" s="39"/>
      <c r="F181" s="39"/>
      <c r="G181" s="39"/>
      <c r="H181" s="39"/>
      <c r="I181" s="39"/>
      <c r="J181" s="40"/>
      <c r="K181" s="40"/>
      <c r="L181" s="40"/>
    </row>
    <row r="182" ht="12.75" customHeight="1">
      <c r="A182" s="39"/>
      <c r="B182" s="40"/>
      <c r="C182" s="39"/>
      <c r="D182" s="39"/>
      <c r="E182" s="39"/>
      <c r="F182" s="39"/>
      <c r="G182" s="39"/>
      <c r="H182" s="39"/>
      <c r="I182" s="39"/>
      <c r="J182" s="40"/>
      <c r="K182" s="40"/>
      <c r="L182" s="40"/>
    </row>
    <row r="183" ht="12.75" customHeight="1">
      <c r="A183" s="39"/>
      <c r="B183" s="40"/>
      <c r="C183" s="39"/>
      <c r="D183" s="39"/>
      <c r="E183" s="39"/>
      <c r="F183" s="39"/>
      <c r="G183" s="39"/>
      <c r="H183" s="39"/>
      <c r="I183" s="39"/>
      <c r="J183" s="40"/>
      <c r="K183" s="40"/>
      <c r="L183" s="40"/>
    </row>
    <row r="184" ht="12.75" customHeight="1">
      <c r="A184" s="39"/>
      <c r="B184" s="40"/>
      <c r="C184" s="39"/>
      <c r="D184" s="39"/>
      <c r="E184" s="39"/>
      <c r="F184" s="39"/>
      <c r="G184" s="39"/>
      <c r="H184" s="39"/>
      <c r="I184" s="39"/>
      <c r="J184" s="40"/>
      <c r="K184" s="40"/>
      <c r="L184" s="40"/>
    </row>
    <row r="185" ht="12.75" customHeight="1">
      <c r="A185" s="39"/>
      <c r="B185" s="40"/>
      <c r="C185" s="39"/>
      <c r="D185" s="39"/>
      <c r="E185" s="39"/>
      <c r="F185" s="39"/>
      <c r="G185" s="39"/>
      <c r="H185" s="39"/>
      <c r="I185" s="39"/>
      <c r="J185" s="40"/>
      <c r="K185" s="40"/>
      <c r="L185" s="40"/>
    </row>
    <row r="186" ht="12.75" customHeight="1">
      <c r="A186" s="39"/>
      <c r="B186" s="40"/>
      <c r="C186" s="39"/>
      <c r="D186" s="39"/>
      <c r="E186" s="39"/>
      <c r="F186" s="39"/>
      <c r="G186" s="39"/>
      <c r="H186" s="39"/>
      <c r="I186" s="39"/>
      <c r="J186" s="40"/>
      <c r="K186" s="40"/>
      <c r="L186" s="40"/>
    </row>
    <row r="187" ht="12.75" customHeight="1">
      <c r="A187" s="39"/>
      <c r="B187" s="40"/>
      <c r="C187" s="39"/>
      <c r="D187" s="39"/>
      <c r="E187" s="39"/>
      <c r="F187" s="39"/>
      <c r="G187" s="39"/>
      <c r="H187" s="39"/>
      <c r="I187" s="39"/>
      <c r="J187" s="40"/>
      <c r="K187" s="40"/>
      <c r="L187" s="40"/>
    </row>
    <row r="188" ht="12.75" customHeight="1">
      <c r="A188" s="39"/>
      <c r="B188" s="40"/>
      <c r="C188" s="39"/>
      <c r="D188" s="39"/>
      <c r="E188" s="39"/>
      <c r="F188" s="39"/>
      <c r="G188" s="39"/>
      <c r="H188" s="39"/>
      <c r="I188" s="39"/>
      <c r="J188" s="40"/>
      <c r="K188" s="40"/>
      <c r="L188" s="40"/>
    </row>
    <row r="189" ht="12.75" customHeight="1">
      <c r="A189" s="39"/>
      <c r="B189" s="40"/>
      <c r="C189" s="39"/>
      <c r="D189" s="39"/>
      <c r="E189" s="39"/>
      <c r="F189" s="39"/>
      <c r="G189" s="39"/>
      <c r="H189" s="39"/>
      <c r="I189" s="39"/>
      <c r="J189" s="40"/>
      <c r="K189" s="40"/>
      <c r="L189" s="40"/>
    </row>
    <row r="190" ht="12.75" customHeight="1">
      <c r="A190" s="39"/>
      <c r="B190" s="40"/>
      <c r="C190" s="39"/>
      <c r="D190" s="39"/>
      <c r="E190" s="39"/>
      <c r="F190" s="39"/>
      <c r="G190" s="39"/>
      <c r="H190" s="39"/>
      <c r="I190" s="39"/>
      <c r="J190" s="40"/>
      <c r="K190" s="40"/>
      <c r="L190" s="40"/>
    </row>
    <row r="191" ht="12.75" customHeight="1">
      <c r="A191" s="39"/>
      <c r="B191" s="40"/>
      <c r="C191" s="39"/>
      <c r="D191" s="39"/>
      <c r="E191" s="39"/>
      <c r="F191" s="39"/>
      <c r="G191" s="39"/>
      <c r="H191" s="39"/>
      <c r="I191" s="39"/>
      <c r="J191" s="40"/>
      <c r="K191" s="40"/>
      <c r="L191" s="40"/>
    </row>
    <row r="192" ht="12.75" customHeight="1">
      <c r="A192" s="39"/>
      <c r="B192" s="40"/>
      <c r="C192" s="39"/>
      <c r="D192" s="39"/>
      <c r="E192" s="39"/>
      <c r="F192" s="39"/>
      <c r="G192" s="39"/>
      <c r="H192" s="39"/>
      <c r="I192" s="39"/>
      <c r="J192" s="40"/>
      <c r="K192" s="40"/>
      <c r="L192" s="40"/>
    </row>
    <row r="193" ht="12.75" customHeight="1">
      <c r="A193" s="39"/>
      <c r="B193" s="40"/>
      <c r="C193" s="39"/>
      <c r="D193" s="39"/>
      <c r="E193" s="39"/>
      <c r="F193" s="39"/>
      <c r="G193" s="39"/>
      <c r="H193" s="39"/>
      <c r="I193" s="39"/>
      <c r="J193" s="40"/>
      <c r="K193" s="40"/>
      <c r="L193" s="40"/>
    </row>
    <row r="194" ht="12.75" customHeight="1">
      <c r="A194" s="39"/>
      <c r="B194" s="40"/>
      <c r="C194" s="39"/>
      <c r="D194" s="39"/>
      <c r="E194" s="39"/>
      <c r="F194" s="39"/>
      <c r="G194" s="39"/>
      <c r="H194" s="39"/>
      <c r="I194" s="39"/>
      <c r="J194" s="40"/>
      <c r="K194" s="40"/>
      <c r="L194" s="40"/>
    </row>
    <row r="195" ht="12.75" customHeight="1">
      <c r="A195" s="39"/>
      <c r="B195" s="40"/>
      <c r="C195" s="39"/>
      <c r="D195" s="39"/>
      <c r="E195" s="39"/>
      <c r="F195" s="39"/>
      <c r="G195" s="39"/>
      <c r="H195" s="39"/>
      <c r="I195" s="39"/>
      <c r="J195" s="40"/>
      <c r="K195" s="40"/>
      <c r="L195" s="40"/>
    </row>
    <row r="196" ht="12.75" customHeight="1">
      <c r="A196" s="39"/>
      <c r="B196" s="40"/>
      <c r="C196" s="39"/>
      <c r="D196" s="39"/>
      <c r="E196" s="39"/>
      <c r="F196" s="39"/>
      <c r="G196" s="39"/>
      <c r="H196" s="39"/>
      <c r="I196" s="39"/>
      <c r="J196" s="40"/>
      <c r="K196" s="40"/>
      <c r="L196" s="40"/>
    </row>
    <row r="197" ht="12.75" customHeight="1">
      <c r="A197" s="39"/>
      <c r="B197" s="40"/>
      <c r="C197" s="39"/>
      <c r="D197" s="39"/>
      <c r="E197" s="39"/>
      <c r="F197" s="39"/>
      <c r="G197" s="39"/>
      <c r="H197" s="39"/>
      <c r="I197" s="39"/>
      <c r="J197" s="40"/>
      <c r="K197" s="40"/>
      <c r="L197" s="40"/>
    </row>
    <row r="198" ht="12.75" customHeight="1">
      <c r="A198" s="39"/>
      <c r="B198" s="40"/>
      <c r="C198" s="39"/>
      <c r="D198" s="39"/>
      <c r="E198" s="39"/>
      <c r="F198" s="39"/>
      <c r="G198" s="39"/>
      <c r="H198" s="39"/>
      <c r="I198" s="39"/>
      <c r="J198" s="40"/>
      <c r="K198" s="40"/>
      <c r="L198" s="40"/>
    </row>
    <row r="199" ht="12.75" customHeight="1">
      <c r="A199" s="39"/>
      <c r="B199" s="40"/>
      <c r="C199" s="39"/>
      <c r="D199" s="39"/>
      <c r="E199" s="39"/>
      <c r="F199" s="39"/>
      <c r="G199" s="39"/>
      <c r="H199" s="39"/>
      <c r="I199" s="39"/>
      <c r="J199" s="40"/>
      <c r="K199" s="40"/>
      <c r="L199" s="40"/>
    </row>
    <row r="200" ht="12.75" customHeight="1">
      <c r="A200" s="39"/>
      <c r="B200" s="40"/>
      <c r="C200" s="39"/>
      <c r="D200" s="39"/>
      <c r="E200" s="39"/>
      <c r="F200" s="39"/>
      <c r="G200" s="39"/>
      <c r="H200" s="39"/>
      <c r="I200" s="39"/>
      <c r="J200" s="40"/>
      <c r="K200" s="40"/>
      <c r="L200" s="40"/>
    </row>
    <row r="201" ht="12.75" customHeight="1">
      <c r="A201" s="39"/>
      <c r="B201" s="40"/>
      <c r="C201" s="39"/>
      <c r="D201" s="39"/>
      <c r="E201" s="39"/>
      <c r="F201" s="39"/>
      <c r="G201" s="39"/>
      <c r="H201" s="39"/>
      <c r="I201" s="39"/>
      <c r="J201" s="40"/>
      <c r="K201" s="40"/>
      <c r="L201" s="40"/>
    </row>
    <row r="202" ht="12.75" customHeight="1">
      <c r="A202" s="39"/>
      <c r="B202" s="40"/>
      <c r="C202" s="39"/>
      <c r="D202" s="39"/>
      <c r="E202" s="39"/>
      <c r="F202" s="39"/>
      <c r="G202" s="39"/>
      <c r="H202" s="39"/>
      <c r="I202" s="39"/>
      <c r="J202" s="40"/>
      <c r="K202" s="40"/>
      <c r="L202" s="40"/>
    </row>
    <row r="203" ht="12.75" customHeight="1">
      <c r="A203" s="39"/>
      <c r="B203" s="40"/>
      <c r="C203" s="39"/>
      <c r="D203" s="39"/>
      <c r="E203" s="39"/>
      <c r="F203" s="39"/>
      <c r="G203" s="39"/>
      <c r="H203" s="39"/>
      <c r="I203" s="39"/>
      <c r="J203" s="40"/>
      <c r="K203" s="40"/>
      <c r="L203" s="40"/>
    </row>
    <row r="204" ht="12.75" customHeight="1">
      <c r="A204" s="39"/>
      <c r="B204" s="40"/>
      <c r="C204" s="39"/>
      <c r="D204" s="39"/>
      <c r="E204" s="39"/>
      <c r="F204" s="39"/>
      <c r="G204" s="39"/>
      <c r="H204" s="39"/>
      <c r="I204" s="39"/>
      <c r="J204" s="40"/>
      <c r="K204" s="40"/>
      <c r="L204" s="40"/>
    </row>
    <row r="205" ht="12.75" customHeight="1">
      <c r="A205" s="39"/>
      <c r="B205" s="40"/>
      <c r="C205" s="39"/>
      <c r="D205" s="39"/>
      <c r="E205" s="39"/>
      <c r="F205" s="39"/>
      <c r="G205" s="39"/>
      <c r="H205" s="39"/>
      <c r="I205" s="39"/>
      <c r="J205" s="40"/>
      <c r="K205" s="40"/>
      <c r="L205" s="40"/>
    </row>
    <row r="206" ht="12.75" customHeight="1">
      <c r="A206" s="39"/>
      <c r="B206" s="40"/>
      <c r="C206" s="39"/>
      <c r="D206" s="39"/>
      <c r="E206" s="39"/>
      <c r="F206" s="39"/>
      <c r="G206" s="39"/>
      <c r="H206" s="39"/>
      <c r="I206" s="39"/>
      <c r="J206" s="40"/>
      <c r="K206" s="40"/>
      <c r="L206" s="40"/>
    </row>
    <row r="207" ht="12.75" customHeight="1">
      <c r="A207" s="39"/>
      <c r="B207" s="40"/>
      <c r="C207" s="39"/>
      <c r="D207" s="39"/>
      <c r="E207" s="39"/>
      <c r="F207" s="39"/>
      <c r="G207" s="39"/>
      <c r="H207" s="39"/>
      <c r="I207" s="39"/>
      <c r="J207" s="40"/>
      <c r="K207" s="40"/>
      <c r="L207" s="40"/>
    </row>
    <row r="208" ht="12.75" customHeight="1">
      <c r="A208" s="39"/>
      <c r="B208" s="40"/>
      <c r="C208" s="39"/>
      <c r="D208" s="39"/>
      <c r="E208" s="39"/>
      <c r="F208" s="39"/>
      <c r="G208" s="39"/>
      <c r="H208" s="39"/>
      <c r="I208" s="39"/>
      <c r="J208" s="40"/>
      <c r="K208" s="40"/>
      <c r="L208" s="40"/>
    </row>
    <row r="209" ht="12.75" customHeight="1">
      <c r="A209" s="39"/>
      <c r="B209" s="40"/>
      <c r="C209" s="39"/>
      <c r="D209" s="39"/>
      <c r="E209" s="39"/>
      <c r="F209" s="39"/>
      <c r="G209" s="39"/>
      <c r="H209" s="39"/>
      <c r="I209" s="39"/>
      <c r="J209" s="40"/>
      <c r="K209" s="40"/>
      <c r="L209" s="40"/>
    </row>
    <row r="210" ht="12.75" customHeight="1">
      <c r="A210" s="39"/>
      <c r="B210" s="40"/>
      <c r="C210" s="39"/>
      <c r="D210" s="39"/>
      <c r="E210" s="39"/>
      <c r="F210" s="39"/>
      <c r="G210" s="39"/>
      <c r="H210" s="39"/>
      <c r="I210" s="39"/>
      <c r="J210" s="40"/>
      <c r="K210" s="40"/>
      <c r="L210" s="40"/>
    </row>
    <row r="211" ht="12.75" customHeight="1">
      <c r="A211" s="39"/>
      <c r="B211" s="40"/>
      <c r="C211" s="39"/>
      <c r="D211" s="39"/>
      <c r="E211" s="39"/>
      <c r="F211" s="39"/>
      <c r="G211" s="39"/>
      <c r="H211" s="39"/>
      <c r="I211" s="39"/>
      <c r="J211" s="40"/>
      <c r="K211" s="40"/>
      <c r="L211" s="40"/>
    </row>
    <row r="212" ht="12.75" customHeight="1">
      <c r="A212" s="39"/>
      <c r="B212" s="40"/>
      <c r="C212" s="39"/>
      <c r="D212" s="39"/>
      <c r="E212" s="39"/>
      <c r="F212" s="39"/>
      <c r="G212" s="39"/>
      <c r="H212" s="39"/>
      <c r="I212" s="39"/>
      <c r="J212" s="40"/>
      <c r="K212" s="40"/>
      <c r="L212" s="40"/>
    </row>
    <row r="213" ht="12.75" customHeight="1">
      <c r="A213" s="39"/>
      <c r="B213" s="40"/>
      <c r="C213" s="39"/>
      <c r="D213" s="39"/>
      <c r="E213" s="39"/>
      <c r="F213" s="39"/>
      <c r="G213" s="39"/>
      <c r="H213" s="39"/>
      <c r="I213" s="39"/>
      <c r="J213" s="40"/>
      <c r="K213" s="40"/>
      <c r="L213" s="40"/>
    </row>
    <row r="214" ht="12.75" customHeight="1">
      <c r="A214" s="39"/>
      <c r="B214" s="40"/>
      <c r="C214" s="39"/>
      <c r="D214" s="39"/>
      <c r="E214" s="39"/>
      <c r="F214" s="39"/>
      <c r="G214" s="39"/>
      <c r="H214" s="39"/>
      <c r="I214" s="39"/>
      <c r="J214" s="40"/>
      <c r="K214" s="40"/>
      <c r="L214" s="40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</row>
    <row r="231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</row>
    <row r="232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</row>
    <row r="233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</row>
    <row r="234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</row>
    <row r="235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</row>
    <row r="236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</row>
    <row r="237" ht="15.7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</row>
    <row r="238" ht="15.7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</row>
    <row r="239" ht="15.7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</row>
    <row r="240" ht="15.7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</row>
    <row r="241" ht="15.7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</row>
    <row r="242" ht="15.7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</row>
    <row r="243" ht="15.7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</row>
    <row r="244" ht="15.7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</row>
    <row r="245" ht="15.75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</row>
    <row r="246" ht="15.7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</row>
    <row r="247" ht="15.75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</row>
    <row r="248" ht="15.7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</row>
    <row r="249" ht="15.75" customHeight="1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</row>
    <row r="250" ht="15.75" customHeight="1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</row>
    <row r="251" ht="15.75" customHeight="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</row>
    <row r="252" ht="15.75" customHeight="1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</row>
    <row r="253" ht="15.75" customHeight="1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</row>
    <row r="254" ht="15.75" customHeight="1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</row>
    <row r="255" ht="15.75" customHeight="1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</row>
    <row r="256" ht="15.75" customHeight="1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</row>
    <row r="257" ht="15.75" customHeight="1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</row>
    <row r="258" ht="15.75" customHeight="1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</row>
    <row r="259" ht="15.75" customHeight="1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</row>
    <row r="260" ht="15.75" customHeight="1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</row>
    <row r="261" ht="15.75" customHeight="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</row>
    <row r="262" ht="15.75" customHeight="1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</row>
    <row r="263" ht="15.75" customHeight="1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</row>
    <row r="264" ht="15.75" customHeight="1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</row>
    <row r="265" ht="15.75" customHeight="1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</row>
    <row r="266" ht="15.75" customHeight="1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</row>
    <row r="267" ht="15.75" customHeight="1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</row>
    <row r="268" ht="15.75" customHeight="1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</row>
    <row r="269" ht="15.75" customHeight="1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</row>
    <row r="270" ht="15.75" customHeight="1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</row>
    <row r="271" ht="15.75" customHeight="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</row>
    <row r="272" ht="15.75" customHeight="1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</row>
    <row r="273" ht="15.75" customHeight="1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</row>
    <row r="274" ht="15.75" customHeight="1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</row>
    <row r="275" ht="15.75" customHeight="1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</row>
    <row r="276" ht="15.75" customHeight="1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</row>
    <row r="277" ht="15.75" customHeight="1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</row>
    <row r="278" ht="15.75" customHeight="1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</row>
    <row r="279" ht="15.75" customHeight="1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</row>
    <row r="280" ht="15.75" customHeight="1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</row>
    <row r="281" ht="15.75" customHeight="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</row>
    <row r="282" ht="15.75" customHeight="1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</row>
    <row r="283" ht="15.75" customHeight="1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</row>
    <row r="284" ht="15.75" customHeight="1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</row>
    <row r="285" ht="15.75" customHeight="1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</row>
    <row r="286" ht="15.75" customHeight="1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</row>
    <row r="287" ht="15.75" customHeight="1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</row>
    <row r="288" ht="15.75" customHeight="1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</row>
    <row r="289" ht="15.75" customHeight="1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</row>
    <row r="290" ht="15.75" customHeight="1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</row>
    <row r="291" ht="15.75" customHeight="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</row>
    <row r="292" ht="15.75" customHeight="1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</row>
    <row r="293" ht="15.75" customHeight="1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</row>
    <row r="294" ht="15.75" customHeight="1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</row>
    <row r="295" ht="15.75" customHeight="1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</row>
    <row r="296" ht="15.75" customHeight="1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</row>
    <row r="297" ht="15.75" customHeight="1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</row>
    <row r="298" ht="15.75" customHeight="1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</row>
    <row r="299" ht="15.75" customHeight="1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</row>
    <row r="300" ht="15.75" customHeight="1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</row>
    <row r="301" ht="15.75" customHeight="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</row>
    <row r="302" ht="15.75" customHeight="1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</row>
    <row r="303" ht="15.75" customHeight="1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</row>
    <row r="304" ht="15.75" customHeight="1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</row>
    <row r="305" ht="15.75" customHeight="1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</row>
    <row r="306" ht="15.75" customHeight="1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</row>
    <row r="307" ht="15.75" customHeight="1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</row>
    <row r="308" ht="15.75" customHeight="1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</row>
    <row r="309" ht="15.75" customHeight="1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</row>
    <row r="310" ht="15.75" customHeight="1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</row>
    <row r="311" ht="15.75" customHeight="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</row>
    <row r="312" ht="15.75" customHeight="1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</row>
    <row r="313" ht="15.75" customHeight="1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</row>
    <row r="314" ht="15.75" customHeight="1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</row>
    <row r="315" ht="15.75" customHeight="1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</row>
    <row r="316" ht="15.75" customHeight="1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</row>
    <row r="317" ht="15.75" customHeight="1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</row>
    <row r="318" ht="15.75" customHeight="1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</row>
    <row r="319" ht="15.75" customHeight="1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</row>
    <row r="320" ht="15.75" customHeight="1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</row>
    <row r="321" ht="15.75" customHeight="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</row>
    <row r="322" ht="15.75" customHeight="1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</row>
    <row r="323" ht="15.75" customHeight="1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</row>
    <row r="324" ht="15.75" customHeight="1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</row>
    <row r="325" ht="15.75" customHeight="1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</row>
    <row r="326" ht="15.75" customHeight="1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</row>
    <row r="327" ht="15.75" customHeight="1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</row>
    <row r="328" ht="15.75" customHeight="1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</row>
    <row r="329" ht="15.75" customHeight="1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</row>
    <row r="330" ht="15.75" customHeight="1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</row>
    <row r="331" ht="15.75" customHeight="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</row>
    <row r="332" ht="15.75" customHeight="1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</row>
    <row r="333" ht="15.75" customHeight="1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</row>
    <row r="334" ht="15.75" customHeight="1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</row>
    <row r="335" ht="15.75" customHeight="1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</row>
    <row r="336" ht="15.75" customHeight="1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</row>
    <row r="337" ht="15.75" customHeight="1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</row>
    <row r="338" ht="15.75" customHeight="1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</row>
    <row r="339" ht="15.75" customHeight="1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</row>
    <row r="340" ht="15.75" customHeight="1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</row>
    <row r="341" ht="15.75" customHeight="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</row>
    <row r="342" ht="15.75" customHeight="1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</row>
    <row r="343" ht="15.75" customHeight="1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</row>
    <row r="344" ht="15.75" customHeight="1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</row>
    <row r="345" ht="15.75" customHeight="1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</row>
    <row r="346" ht="15.75" customHeight="1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</row>
    <row r="347" ht="15.75" customHeight="1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</row>
    <row r="348" ht="15.75" customHeight="1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</row>
    <row r="349" ht="15.75" customHeight="1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</row>
    <row r="350" ht="15.75" customHeight="1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</row>
    <row r="351" ht="15.75" customHeight="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</row>
    <row r="352" ht="15.75" customHeight="1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</row>
    <row r="353" ht="15.75" customHeight="1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</row>
    <row r="354" ht="15.75" customHeight="1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</row>
    <row r="355" ht="15.75" customHeight="1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</row>
    <row r="356" ht="15.75" customHeight="1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</row>
    <row r="357" ht="15.75" customHeight="1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</row>
    <row r="358" ht="15.75" customHeight="1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</row>
    <row r="359" ht="15.75" customHeight="1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</row>
    <row r="360" ht="15.75" customHeight="1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</row>
    <row r="361" ht="15.75" customHeight="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</row>
    <row r="362" ht="15.75" customHeight="1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</row>
    <row r="363" ht="15.75" customHeight="1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</row>
    <row r="364" ht="15.75" customHeight="1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</row>
    <row r="365" ht="15.75" customHeight="1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</row>
    <row r="366" ht="15.75" customHeight="1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</row>
    <row r="367" ht="15.75" customHeight="1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</row>
    <row r="368" ht="15.75" customHeight="1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</row>
    <row r="369" ht="15.75" customHeight="1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</row>
    <row r="370" ht="15.75" customHeight="1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</row>
    <row r="371" ht="15.75" customHeight="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</row>
    <row r="372" ht="15.75" customHeight="1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</row>
    <row r="373" ht="15.75" customHeight="1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</row>
    <row r="374" ht="15.75" customHeight="1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</row>
    <row r="375" ht="15.75" customHeight="1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</row>
    <row r="376" ht="15.75" customHeight="1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</row>
    <row r="377" ht="15.75" customHeight="1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</row>
    <row r="378" ht="15.75" customHeight="1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</row>
    <row r="379" ht="15.75" customHeight="1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</row>
    <row r="380" ht="15.75" customHeight="1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</row>
    <row r="381" ht="15.75" customHeight="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</row>
    <row r="382" ht="15.75" customHeight="1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</row>
    <row r="383" ht="15.75" customHeight="1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</row>
    <row r="384" ht="15.75" customHeight="1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</row>
    <row r="385" ht="15.75" customHeight="1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</row>
    <row r="386" ht="15.75" customHeight="1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</row>
    <row r="387" ht="15.75" customHeight="1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</row>
    <row r="388" ht="15.75" customHeight="1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</row>
    <row r="389" ht="15.75" customHeight="1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</row>
    <row r="390" ht="15.75" customHeight="1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</row>
    <row r="391" ht="15.75" customHeight="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</row>
    <row r="392" ht="15.75" customHeight="1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</row>
    <row r="393" ht="15.75" customHeight="1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</row>
    <row r="394" ht="15.75" customHeight="1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</row>
    <row r="395" ht="15.75" customHeight="1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</row>
    <row r="396" ht="15.75" customHeight="1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</row>
    <row r="397" ht="15.75" customHeight="1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</row>
    <row r="398" ht="15.75" customHeight="1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</row>
    <row r="399" ht="15.75" customHeight="1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</row>
    <row r="400" ht="15.75" customHeight="1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</row>
    <row r="401" ht="15.75" customHeight="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</row>
    <row r="402" ht="15.75" customHeight="1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</row>
    <row r="403" ht="15.75" customHeight="1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</row>
    <row r="404" ht="15.75" customHeight="1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</row>
    <row r="405" ht="15.75" customHeight="1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</row>
    <row r="406" ht="15.75" customHeight="1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</row>
    <row r="407" ht="15.75" customHeight="1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</row>
    <row r="408" ht="15.75" customHeight="1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</row>
    <row r="409" ht="15.75" customHeight="1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</row>
    <row r="410" ht="15.75" customHeight="1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</row>
    <row r="411" ht="15.75" customHeight="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</row>
    <row r="412" ht="15.75" customHeight="1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</row>
    <row r="413" ht="15.75" customHeight="1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</row>
    <row r="414" ht="15.75" customHeight="1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</row>
    <row r="415" ht="15.75" customHeight="1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</row>
    <row r="416" ht="15.75" customHeight="1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</row>
    <row r="417" ht="15.75" customHeight="1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</row>
    <row r="418" ht="15.75" customHeight="1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</row>
    <row r="419" ht="15.75" customHeight="1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</row>
    <row r="420" ht="15.75" customHeight="1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</row>
    <row r="421" ht="15.75" customHeight="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</row>
    <row r="422" ht="15.75" customHeight="1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</row>
    <row r="423" ht="15.75" customHeight="1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</row>
    <row r="424" ht="15.75" customHeight="1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</row>
    <row r="425" ht="15.75" customHeight="1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</row>
    <row r="426" ht="15.75" customHeight="1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</row>
    <row r="427" ht="15.75" customHeight="1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</row>
    <row r="428" ht="15.75" customHeight="1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</row>
    <row r="429" ht="15.75" customHeight="1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</row>
    <row r="430" ht="15.75" customHeight="1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</row>
    <row r="431" ht="15.75" customHeight="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</row>
    <row r="432" ht="15.75" customHeight="1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</row>
    <row r="433" ht="15.75" customHeight="1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</row>
    <row r="434" ht="15.75" customHeight="1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</row>
    <row r="435" ht="15.75" customHeight="1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</row>
    <row r="436" ht="15.75" customHeight="1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</row>
    <row r="437" ht="15.75" customHeight="1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</row>
    <row r="438" ht="15.75" customHeight="1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</row>
    <row r="439" ht="15.75" customHeight="1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</row>
    <row r="440" ht="15.75" customHeight="1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</row>
    <row r="441" ht="15.75" customHeight="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</row>
    <row r="442" ht="15.75" customHeight="1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</row>
    <row r="443" ht="15.75" customHeight="1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</row>
    <row r="444" ht="15.75" customHeight="1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</row>
    <row r="445" ht="15.75" customHeight="1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</row>
    <row r="446" ht="15.75" customHeight="1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</row>
    <row r="447" ht="15.75" customHeight="1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</row>
    <row r="448" ht="15.75" customHeight="1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</row>
    <row r="449" ht="15.75" customHeight="1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</row>
    <row r="450" ht="15.75" customHeight="1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</row>
    <row r="451" ht="15.75" customHeight="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</row>
    <row r="452" ht="15.75" customHeight="1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</row>
    <row r="453" ht="15.75" customHeight="1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</row>
    <row r="454" ht="15.75" customHeight="1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</row>
    <row r="455" ht="15.75" customHeight="1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</row>
    <row r="456" ht="15.75" customHeight="1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</row>
    <row r="457" ht="15.75" customHeight="1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</row>
    <row r="458" ht="15.75" customHeight="1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</row>
    <row r="459" ht="15.75" customHeight="1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</row>
    <row r="460" ht="15.75" customHeight="1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</row>
    <row r="461" ht="15.75" customHeight="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</row>
    <row r="462" ht="15.75" customHeight="1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</row>
    <row r="463" ht="15.75" customHeight="1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</row>
    <row r="464" ht="15.75" customHeight="1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</row>
    <row r="465" ht="15.75" customHeight="1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</row>
    <row r="466" ht="15.75" customHeight="1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</row>
    <row r="467" ht="15.75" customHeight="1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</row>
    <row r="468" ht="15.75" customHeight="1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</row>
    <row r="469" ht="15.75" customHeight="1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</row>
    <row r="470" ht="15.75" customHeight="1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</row>
    <row r="471" ht="15.75" customHeight="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</row>
    <row r="472" ht="15.75" customHeight="1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</row>
    <row r="473" ht="15.75" customHeight="1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</row>
    <row r="474" ht="15.75" customHeight="1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</row>
    <row r="475" ht="15.75" customHeight="1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</row>
    <row r="476" ht="15.75" customHeight="1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</row>
    <row r="477" ht="15.75" customHeight="1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</row>
    <row r="478" ht="15.75" customHeight="1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</row>
    <row r="479" ht="15.75" customHeight="1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</row>
    <row r="480" ht="15.75" customHeight="1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</row>
    <row r="481" ht="15.75" customHeight="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</row>
    <row r="482" ht="15.75" customHeight="1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</row>
    <row r="483" ht="15.75" customHeight="1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</row>
    <row r="484" ht="15.75" customHeight="1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</row>
    <row r="485" ht="15.75" customHeight="1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</row>
    <row r="486" ht="15.75" customHeight="1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</row>
    <row r="487" ht="15.75" customHeight="1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</row>
    <row r="488" ht="15.75" customHeight="1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</row>
    <row r="489" ht="15.75" customHeight="1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</row>
    <row r="490" ht="15.75" customHeight="1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</row>
    <row r="491" ht="15.75" customHeight="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</row>
    <row r="492" ht="15.75" customHeight="1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</row>
    <row r="493" ht="15.75" customHeight="1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</row>
    <row r="494" ht="15.75" customHeight="1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</row>
    <row r="495" ht="15.75" customHeight="1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</row>
    <row r="496" ht="15.75" customHeight="1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</row>
    <row r="497" ht="15.75" customHeight="1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</row>
    <row r="498" ht="15.75" customHeight="1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</row>
    <row r="499" ht="15.75" customHeight="1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</row>
    <row r="500" ht="15.75" customHeight="1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</row>
    <row r="501" ht="15.75" customHeight="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</row>
    <row r="502" ht="15.75" customHeight="1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</row>
    <row r="503" ht="15.75" customHeight="1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</row>
    <row r="504" ht="15.75" customHeight="1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</row>
    <row r="505" ht="15.75" customHeight="1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</row>
    <row r="506" ht="15.75" customHeight="1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</row>
    <row r="507" ht="15.75" customHeight="1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</row>
    <row r="508" ht="15.75" customHeight="1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</row>
    <row r="509" ht="15.75" customHeight="1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</row>
    <row r="510" ht="15.75" customHeight="1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</row>
    <row r="511" ht="15.75" customHeight="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</row>
    <row r="512" ht="15.75" customHeight="1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</row>
    <row r="513" ht="15.75" customHeight="1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</row>
    <row r="514" ht="15.75" customHeight="1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</row>
    <row r="515" ht="15.75" customHeight="1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</row>
    <row r="516" ht="15.75" customHeight="1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</row>
    <row r="517" ht="15.75" customHeight="1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</row>
    <row r="518" ht="15.75" customHeight="1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</row>
    <row r="519" ht="15.75" customHeight="1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</row>
    <row r="520" ht="15.75" customHeight="1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</row>
    <row r="521" ht="15.75" customHeight="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</row>
    <row r="522" ht="15.75" customHeight="1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</row>
    <row r="523" ht="15.75" customHeight="1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</row>
    <row r="524" ht="15.75" customHeight="1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</row>
    <row r="525" ht="15.75" customHeight="1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</row>
    <row r="526" ht="15.75" customHeight="1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</row>
    <row r="527" ht="15.75" customHeight="1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</row>
    <row r="528" ht="15.75" customHeight="1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</row>
    <row r="529" ht="15.75" customHeight="1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</row>
    <row r="530" ht="15.75" customHeight="1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</row>
    <row r="531" ht="15.75" customHeight="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</row>
    <row r="532" ht="15.75" customHeight="1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</row>
    <row r="533" ht="15.75" customHeight="1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</row>
    <row r="534" ht="15.75" customHeight="1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</row>
    <row r="535" ht="15.75" customHeight="1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</row>
    <row r="536" ht="15.75" customHeight="1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</row>
    <row r="537" ht="15.75" customHeight="1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</row>
    <row r="538" ht="15.75" customHeight="1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</row>
    <row r="539" ht="15.75" customHeight="1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</row>
    <row r="540" ht="15.75" customHeight="1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</row>
    <row r="541" ht="15.75" customHeight="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</row>
    <row r="542" ht="15.75" customHeight="1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</row>
    <row r="543" ht="15.75" customHeight="1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</row>
    <row r="544" ht="15.75" customHeight="1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</row>
    <row r="545" ht="15.75" customHeight="1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</row>
    <row r="546" ht="15.75" customHeight="1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</row>
    <row r="547" ht="15.75" customHeight="1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</row>
    <row r="548" ht="15.75" customHeight="1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</row>
    <row r="549" ht="15.75" customHeight="1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</row>
    <row r="550" ht="15.75" customHeight="1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</row>
    <row r="551" ht="15.75" customHeight="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</row>
    <row r="552" ht="15.75" customHeight="1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</row>
    <row r="553" ht="15.75" customHeight="1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</row>
    <row r="554" ht="15.75" customHeight="1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</row>
    <row r="555" ht="15.75" customHeight="1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</row>
    <row r="556" ht="15.75" customHeight="1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</row>
    <row r="557" ht="15.75" customHeight="1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</row>
    <row r="558" ht="15.75" customHeight="1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</row>
    <row r="559" ht="15.75" customHeight="1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</row>
    <row r="560" ht="15.75" customHeight="1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</row>
    <row r="561" ht="15.75" customHeight="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</row>
    <row r="562" ht="15.75" customHeight="1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</row>
    <row r="563" ht="15.75" customHeight="1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</row>
    <row r="564" ht="15.75" customHeight="1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</row>
    <row r="565" ht="15.75" customHeight="1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</row>
    <row r="566" ht="15.75" customHeight="1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</row>
    <row r="567" ht="15.75" customHeight="1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</row>
    <row r="568" ht="15.75" customHeight="1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</row>
    <row r="569" ht="15.75" customHeight="1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</row>
    <row r="570" ht="15.75" customHeight="1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</row>
    <row r="571" ht="15.75" customHeight="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</row>
    <row r="572" ht="15.75" customHeight="1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</row>
    <row r="573" ht="15.75" customHeight="1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</row>
    <row r="574" ht="15.75" customHeight="1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</row>
    <row r="575" ht="15.75" customHeight="1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</row>
    <row r="576" ht="15.75" customHeight="1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</row>
    <row r="577" ht="15.75" customHeight="1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</row>
    <row r="578" ht="15.75" customHeight="1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</row>
    <row r="579" ht="15.75" customHeight="1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</row>
    <row r="580" ht="15.75" customHeight="1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</row>
    <row r="581" ht="15.75" customHeight="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</row>
    <row r="582" ht="15.75" customHeight="1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</row>
    <row r="583" ht="15.75" customHeight="1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</row>
    <row r="584" ht="15.75" customHeight="1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</row>
    <row r="585" ht="15.75" customHeight="1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</row>
    <row r="586" ht="15.75" customHeight="1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</row>
    <row r="587" ht="15.75" customHeight="1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</row>
    <row r="588" ht="15.75" customHeight="1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</row>
    <row r="589" ht="15.75" customHeight="1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</row>
    <row r="590" ht="15.75" customHeight="1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</row>
    <row r="591" ht="15.75" customHeight="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</row>
    <row r="592" ht="15.75" customHeight="1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</row>
    <row r="593" ht="15.75" customHeight="1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</row>
    <row r="594" ht="15.75" customHeight="1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</row>
    <row r="595" ht="15.75" customHeight="1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</row>
    <row r="596" ht="15.75" customHeight="1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</row>
    <row r="597" ht="15.75" customHeight="1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</row>
    <row r="598" ht="15.75" customHeight="1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</row>
    <row r="599" ht="15.75" customHeight="1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</row>
    <row r="600" ht="15.75" customHeight="1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</row>
    <row r="601" ht="15.75" customHeight="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</row>
    <row r="602" ht="15.75" customHeight="1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</row>
    <row r="603" ht="15.75" customHeight="1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</row>
    <row r="604" ht="15.75" customHeight="1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</row>
    <row r="605" ht="15.75" customHeight="1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</row>
    <row r="606" ht="15.75" customHeight="1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</row>
    <row r="607" ht="15.75" customHeight="1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</row>
    <row r="608" ht="15.75" customHeight="1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</row>
    <row r="609" ht="15.75" customHeight="1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</row>
    <row r="610" ht="15.75" customHeight="1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</row>
    <row r="611" ht="15.75" customHeight="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</row>
    <row r="612" ht="15.75" customHeight="1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</row>
    <row r="613" ht="15.75" customHeight="1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</row>
    <row r="614" ht="15.75" customHeight="1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</row>
    <row r="615" ht="15.75" customHeight="1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</row>
    <row r="616" ht="15.75" customHeight="1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</row>
    <row r="617" ht="15.75" customHeight="1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</row>
    <row r="618" ht="15.75" customHeight="1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</row>
    <row r="619" ht="15.75" customHeight="1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</row>
    <row r="620" ht="15.75" customHeight="1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</row>
    <row r="621" ht="15.75" customHeight="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</row>
    <row r="622" ht="15.75" customHeight="1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</row>
    <row r="623" ht="15.75" customHeight="1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</row>
    <row r="624" ht="15.75" customHeight="1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</row>
    <row r="625" ht="15.75" customHeight="1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</row>
    <row r="626" ht="15.75" customHeight="1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</row>
    <row r="627" ht="15.75" customHeight="1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</row>
    <row r="628" ht="15.75" customHeight="1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</row>
    <row r="629" ht="15.75" customHeight="1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</row>
    <row r="630" ht="15.75" customHeight="1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</row>
    <row r="631" ht="15.75" customHeight="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</row>
    <row r="632" ht="15.75" customHeight="1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</row>
    <row r="633" ht="15.75" customHeight="1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</row>
    <row r="634" ht="15.75" customHeight="1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</row>
    <row r="635" ht="15.75" customHeight="1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</row>
    <row r="636" ht="15.75" customHeight="1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</row>
    <row r="637" ht="15.75" customHeight="1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</row>
    <row r="638" ht="15.75" customHeight="1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</row>
    <row r="639" ht="15.75" customHeight="1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</row>
    <row r="640" ht="15.75" customHeight="1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</row>
    <row r="641" ht="15.75" customHeight="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</row>
    <row r="642" ht="15.75" customHeight="1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</row>
    <row r="643" ht="15.75" customHeight="1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</row>
    <row r="644" ht="15.75" customHeight="1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</row>
    <row r="645" ht="15.75" customHeight="1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</row>
    <row r="646" ht="15.75" customHeight="1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</row>
    <row r="647" ht="15.75" customHeight="1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</row>
    <row r="648" ht="15.75" customHeight="1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</row>
    <row r="649" ht="15.75" customHeight="1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</row>
    <row r="650" ht="15.75" customHeight="1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</row>
    <row r="651" ht="15.75" customHeight="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</row>
    <row r="652" ht="15.75" customHeight="1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</row>
    <row r="653" ht="15.75" customHeight="1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</row>
    <row r="654" ht="15.75" customHeight="1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</row>
    <row r="655" ht="15.75" customHeight="1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</row>
    <row r="656" ht="15.75" customHeight="1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</row>
    <row r="657" ht="15.75" customHeight="1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</row>
    <row r="658" ht="15.75" customHeight="1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</row>
    <row r="659" ht="15.75" customHeight="1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</row>
    <row r="660" ht="15.75" customHeight="1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</row>
    <row r="661" ht="15.75" customHeight="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</row>
    <row r="662" ht="15.75" customHeight="1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</row>
    <row r="663" ht="15.75" customHeight="1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</row>
    <row r="664" ht="15.75" customHeight="1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</row>
    <row r="665" ht="15.75" customHeight="1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</row>
    <row r="666" ht="15.75" customHeight="1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</row>
    <row r="667" ht="15.75" customHeight="1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</row>
    <row r="668" ht="15.75" customHeight="1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</row>
    <row r="669" ht="15.75" customHeight="1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</row>
    <row r="670" ht="15.75" customHeight="1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</row>
    <row r="671" ht="15.75" customHeight="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</row>
    <row r="672" ht="15.75" customHeight="1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</row>
    <row r="673" ht="15.75" customHeight="1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</row>
    <row r="674" ht="15.75" customHeight="1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</row>
    <row r="675" ht="15.75" customHeight="1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</row>
    <row r="676" ht="15.75" customHeight="1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</row>
    <row r="677" ht="15.75" customHeight="1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</row>
    <row r="678" ht="15.75" customHeight="1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</row>
    <row r="679" ht="15.75" customHeight="1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</row>
    <row r="680" ht="15.75" customHeight="1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</row>
    <row r="681" ht="15.75" customHeight="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</row>
    <row r="682" ht="15.75" customHeight="1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</row>
    <row r="683" ht="15.75" customHeight="1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</row>
    <row r="684" ht="15.75" customHeight="1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</row>
    <row r="685" ht="15.75" customHeight="1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</row>
    <row r="686" ht="15.75" customHeight="1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</row>
    <row r="687" ht="15.75" customHeight="1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</row>
    <row r="688" ht="15.75" customHeight="1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</row>
    <row r="689" ht="15.75" customHeight="1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</row>
    <row r="690" ht="15.75" customHeight="1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</row>
    <row r="691" ht="15.75" customHeight="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</row>
    <row r="692" ht="15.75" customHeight="1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</row>
    <row r="693" ht="15.75" customHeight="1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</row>
    <row r="694" ht="15.75" customHeight="1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</row>
    <row r="695" ht="15.75" customHeight="1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</row>
    <row r="696" ht="15.75" customHeight="1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</row>
    <row r="697" ht="15.75" customHeight="1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</row>
    <row r="698" ht="15.75" customHeight="1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</row>
    <row r="699" ht="15.75" customHeight="1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</row>
    <row r="700" ht="15.75" customHeight="1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</row>
    <row r="701" ht="15.75" customHeight="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</row>
    <row r="702" ht="15.75" customHeight="1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</row>
    <row r="703" ht="15.75" customHeight="1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</row>
    <row r="704" ht="15.75" customHeight="1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</row>
    <row r="705" ht="15.75" customHeight="1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</row>
    <row r="706" ht="15.75" customHeight="1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</row>
    <row r="707" ht="15.75" customHeight="1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</row>
    <row r="708" ht="15.75" customHeight="1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</row>
    <row r="709" ht="15.75" customHeight="1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</row>
    <row r="710" ht="15.75" customHeight="1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</row>
    <row r="711" ht="15.75" customHeight="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</row>
    <row r="712" ht="15.75" customHeight="1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</row>
    <row r="713" ht="15.75" customHeight="1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</row>
    <row r="714" ht="15.75" customHeight="1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</row>
    <row r="715" ht="15.75" customHeight="1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</row>
    <row r="716" ht="15.75" customHeight="1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</row>
    <row r="717" ht="15.75" customHeight="1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</row>
    <row r="718" ht="15.75" customHeight="1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</row>
    <row r="719" ht="15.75" customHeight="1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</row>
    <row r="720" ht="15.75" customHeight="1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</row>
    <row r="721" ht="15.75" customHeight="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</row>
    <row r="722" ht="15.75" customHeight="1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</row>
    <row r="723" ht="15.75" customHeight="1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</row>
    <row r="724" ht="15.75" customHeight="1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</row>
    <row r="725" ht="15.75" customHeight="1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</row>
    <row r="726" ht="15.75" customHeight="1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</row>
    <row r="727" ht="15.75" customHeight="1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</row>
    <row r="728" ht="15.75" customHeight="1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</row>
    <row r="729" ht="15.75" customHeight="1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</row>
    <row r="730" ht="15.75" customHeight="1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</row>
    <row r="731" ht="15.75" customHeight="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</row>
    <row r="732" ht="15.75" customHeight="1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</row>
    <row r="733" ht="15.75" customHeight="1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</row>
    <row r="734" ht="15.75" customHeight="1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</row>
    <row r="735" ht="15.75" customHeight="1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</row>
    <row r="736" ht="15.75" customHeight="1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</row>
    <row r="737" ht="15.75" customHeight="1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</row>
    <row r="738" ht="15.75" customHeight="1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</row>
    <row r="739" ht="15.75" customHeight="1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</row>
    <row r="740" ht="15.75" customHeight="1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</row>
    <row r="741" ht="15.75" customHeight="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</row>
    <row r="742" ht="15.75" customHeight="1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</row>
    <row r="743" ht="15.75" customHeight="1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</row>
    <row r="744" ht="15.75" customHeight="1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</row>
    <row r="745" ht="15.75" customHeight="1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</row>
    <row r="746" ht="15.75" customHeight="1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</row>
    <row r="747" ht="15.75" customHeight="1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</row>
    <row r="748" ht="15.75" customHeight="1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</row>
    <row r="749" ht="15.75" customHeight="1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</row>
    <row r="750" ht="15.75" customHeight="1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</row>
    <row r="751" ht="15.75" customHeight="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</row>
    <row r="752" ht="15.75" customHeight="1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</row>
    <row r="753" ht="15.75" customHeight="1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</row>
    <row r="754" ht="15.75" customHeight="1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</row>
    <row r="755" ht="15.75" customHeight="1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</row>
    <row r="756" ht="15.75" customHeight="1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</row>
    <row r="757" ht="15.75" customHeight="1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</row>
    <row r="758" ht="15.75" customHeight="1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</row>
    <row r="759" ht="15.75" customHeight="1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</row>
    <row r="760" ht="15.75" customHeight="1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</row>
    <row r="761" ht="15.75" customHeight="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</row>
    <row r="762" ht="15.75" customHeight="1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</row>
    <row r="763" ht="15.75" customHeight="1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</row>
    <row r="764" ht="15.75" customHeight="1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</row>
    <row r="765" ht="15.75" customHeight="1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</row>
    <row r="766" ht="15.75" customHeight="1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</row>
    <row r="767" ht="15.75" customHeight="1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</row>
    <row r="768" ht="15.75" customHeight="1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</row>
    <row r="769" ht="15.75" customHeight="1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</row>
    <row r="770" ht="15.75" customHeight="1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</row>
    <row r="771" ht="15.75" customHeight="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</row>
    <row r="772" ht="15.75" customHeight="1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</row>
    <row r="773" ht="15.75" customHeight="1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</row>
    <row r="774" ht="15.75" customHeight="1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</row>
    <row r="775" ht="15.75" customHeight="1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</row>
    <row r="776" ht="15.75" customHeight="1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</row>
    <row r="777" ht="15.75" customHeight="1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</row>
    <row r="778" ht="15.75" customHeight="1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</row>
    <row r="779" ht="15.75" customHeight="1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</row>
    <row r="780" ht="15.75" customHeight="1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</row>
    <row r="781" ht="15.75" customHeight="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</row>
    <row r="782" ht="15.75" customHeight="1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</row>
    <row r="783" ht="15.75" customHeight="1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</row>
    <row r="784" ht="15.75" customHeight="1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</row>
    <row r="785" ht="15.75" customHeight="1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</row>
    <row r="786" ht="15.75" customHeight="1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</row>
    <row r="787" ht="15.75" customHeight="1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</row>
    <row r="788" ht="15.75" customHeight="1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</row>
    <row r="789" ht="15.75" customHeight="1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</row>
    <row r="790" ht="15.75" customHeight="1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</row>
    <row r="791" ht="15.75" customHeight="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</row>
    <row r="792" ht="15.75" customHeight="1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</row>
    <row r="793" ht="15.75" customHeight="1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</row>
    <row r="794" ht="15.75" customHeight="1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</row>
    <row r="795" ht="15.75" customHeight="1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</row>
    <row r="796" ht="15.75" customHeight="1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</row>
    <row r="797" ht="15.75" customHeight="1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</row>
    <row r="798" ht="15.75" customHeight="1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</row>
    <row r="799" ht="15.75" customHeight="1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</row>
    <row r="800" ht="15.75" customHeight="1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</row>
    <row r="801" ht="15.75" customHeight="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</row>
    <row r="802" ht="15.75" customHeight="1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</row>
    <row r="803" ht="15.75" customHeight="1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</row>
    <row r="804" ht="15.75" customHeight="1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</row>
    <row r="805" ht="15.75" customHeight="1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</row>
    <row r="806" ht="15.75" customHeight="1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</row>
    <row r="807" ht="15.75" customHeight="1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</row>
    <row r="808" ht="15.75" customHeight="1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</row>
    <row r="809" ht="15.75" customHeight="1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</row>
    <row r="810" ht="15.75" customHeight="1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</row>
    <row r="811" ht="15.75" customHeight="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</row>
    <row r="812" ht="15.75" customHeight="1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</row>
    <row r="813" ht="15.75" customHeight="1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</row>
    <row r="814" ht="15.75" customHeight="1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</row>
    <row r="815" ht="15.75" customHeight="1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</row>
    <row r="816" ht="15.75" customHeight="1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</row>
    <row r="817" ht="15.75" customHeight="1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</row>
    <row r="818" ht="15.75" customHeight="1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</row>
    <row r="819" ht="15.75" customHeight="1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</row>
    <row r="820" ht="15.75" customHeight="1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</row>
    <row r="821" ht="15.75" customHeight="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</row>
    <row r="822" ht="15.75" customHeight="1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</row>
    <row r="823" ht="15.75" customHeight="1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</row>
    <row r="824" ht="15.75" customHeight="1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</row>
    <row r="825" ht="15.75" customHeight="1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</row>
    <row r="826" ht="15.75" customHeight="1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</row>
    <row r="827" ht="15.75" customHeight="1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</row>
    <row r="828" ht="15.75" customHeight="1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</row>
    <row r="829" ht="15.75" customHeight="1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</row>
    <row r="830" ht="15.75" customHeight="1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</row>
    <row r="831" ht="15.75" customHeight="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</row>
    <row r="832" ht="15.75" customHeight="1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</row>
    <row r="833" ht="15.75" customHeight="1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</row>
    <row r="834" ht="15.75" customHeight="1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</row>
    <row r="835" ht="15.75" customHeight="1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</row>
    <row r="836" ht="15.75" customHeight="1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</row>
    <row r="837" ht="15.75" customHeight="1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</row>
    <row r="838" ht="15.75" customHeight="1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</row>
    <row r="839" ht="15.75" customHeight="1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</row>
    <row r="840" ht="15.75" customHeight="1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</row>
    <row r="841" ht="15.75" customHeight="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</row>
    <row r="842" ht="15.75" customHeight="1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</row>
    <row r="843" ht="15.75" customHeight="1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</row>
    <row r="844" ht="15.75" customHeight="1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</row>
    <row r="845" ht="15.75" customHeight="1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</row>
    <row r="846" ht="15.75" customHeight="1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</row>
    <row r="847" ht="15.75" customHeight="1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</row>
    <row r="848" ht="15.75" customHeight="1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</row>
    <row r="849" ht="15.75" customHeight="1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</row>
    <row r="850" ht="15.75" customHeight="1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</row>
    <row r="851" ht="15.75" customHeight="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</row>
    <row r="852" ht="15.75" customHeight="1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</row>
    <row r="853" ht="15.75" customHeight="1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</row>
    <row r="854" ht="15.75" customHeight="1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</row>
    <row r="855" ht="15.75" customHeight="1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</row>
    <row r="856" ht="15.75" customHeight="1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</row>
    <row r="857" ht="15.75" customHeight="1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</row>
    <row r="858" ht="15.75" customHeight="1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</row>
    <row r="859" ht="15.75" customHeight="1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</row>
    <row r="860" ht="15.75" customHeight="1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</row>
    <row r="861" ht="15.75" customHeight="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</row>
    <row r="862" ht="15.75" customHeight="1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</row>
    <row r="863" ht="15.75" customHeight="1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</row>
    <row r="864" ht="15.75" customHeight="1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</row>
    <row r="865" ht="15.75" customHeight="1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</row>
    <row r="866" ht="15.75" customHeight="1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</row>
    <row r="867" ht="15.75" customHeight="1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</row>
    <row r="868" ht="15.75" customHeight="1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</row>
    <row r="869" ht="15.75" customHeight="1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</row>
    <row r="870" ht="15.75" customHeight="1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</row>
    <row r="871" ht="15.75" customHeight="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</row>
    <row r="872" ht="15.75" customHeight="1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</row>
    <row r="873" ht="15.75" customHeight="1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</row>
    <row r="874" ht="15.75" customHeight="1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</row>
    <row r="875" ht="15.75" customHeight="1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</row>
    <row r="876" ht="15.75" customHeight="1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</row>
    <row r="877" ht="15.75" customHeight="1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</row>
    <row r="878" ht="15.75" customHeight="1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</row>
    <row r="879" ht="15.75" customHeight="1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</row>
    <row r="880" ht="15.75" customHeight="1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</row>
    <row r="881" ht="15.75" customHeight="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</row>
    <row r="882" ht="15.75" customHeight="1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</row>
    <row r="883" ht="15.75" customHeight="1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</row>
    <row r="884" ht="15.75" customHeight="1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</row>
    <row r="885" ht="15.75" customHeight="1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</row>
    <row r="886" ht="15.75" customHeight="1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</row>
    <row r="887" ht="15.75" customHeight="1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</row>
    <row r="888" ht="15.75" customHeight="1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</row>
    <row r="889" ht="15.75" customHeight="1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</row>
    <row r="890" ht="15.75" customHeight="1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</row>
    <row r="891" ht="15.75" customHeight="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</row>
    <row r="892" ht="15.75" customHeight="1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</row>
    <row r="893" ht="15.75" customHeight="1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</row>
    <row r="894" ht="15.75" customHeight="1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</row>
    <row r="895" ht="15.75" customHeight="1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</row>
    <row r="896" ht="15.75" customHeight="1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</row>
    <row r="897" ht="15.75" customHeight="1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</row>
    <row r="898" ht="15.75" customHeight="1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</row>
    <row r="899" ht="15.75" customHeight="1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</row>
    <row r="900" ht="15.75" customHeight="1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</row>
    <row r="901" ht="15.75" customHeight="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</row>
    <row r="902" ht="15.75" customHeight="1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</row>
    <row r="903" ht="15.75" customHeight="1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</row>
    <row r="904" ht="15.75" customHeight="1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</row>
    <row r="905" ht="15.75" customHeight="1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</row>
    <row r="906" ht="15.75" customHeight="1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</row>
    <row r="907" ht="15.75" customHeight="1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</row>
    <row r="908" ht="15.75" customHeight="1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</row>
    <row r="909" ht="15.75" customHeight="1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</row>
    <row r="910" ht="15.75" customHeight="1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</row>
    <row r="911" ht="15.75" customHeight="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</row>
    <row r="912" ht="15.75" customHeight="1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</row>
    <row r="913" ht="15.75" customHeight="1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</row>
    <row r="914" ht="15.75" customHeight="1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</row>
    <row r="915" ht="15.75" customHeight="1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</row>
    <row r="916" ht="15.75" customHeight="1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</row>
    <row r="917" ht="15.75" customHeight="1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</row>
    <row r="918" ht="15.75" customHeight="1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</row>
    <row r="919" ht="15.75" customHeight="1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</row>
    <row r="920" ht="15.75" customHeight="1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</row>
    <row r="921" ht="15.75" customHeight="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</row>
    <row r="922" ht="15.75" customHeight="1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</row>
    <row r="923" ht="15.75" customHeight="1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</row>
    <row r="924" ht="15.75" customHeight="1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</row>
    <row r="925" ht="15.75" customHeight="1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</row>
    <row r="926" ht="15.75" customHeight="1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</row>
    <row r="927" ht="15.75" customHeight="1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</row>
    <row r="928" ht="15.75" customHeight="1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</row>
    <row r="929" ht="15.75" customHeight="1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</row>
    <row r="930" ht="15.75" customHeight="1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</row>
    <row r="931" ht="15.75" customHeight="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</row>
    <row r="932" ht="15.75" customHeight="1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</row>
    <row r="933" ht="15.75" customHeight="1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</row>
    <row r="934" ht="15.75" customHeight="1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</row>
    <row r="935" ht="15.75" customHeight="1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</row>
    <row r="936" ht="15.75" customHeight="1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</row>
    <row r="937" ht="15.75" customHeight="1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</row>
    <row r="938" ht="15.75" customHeight="1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</row>
    <row r="939" ht="15.75" customHeight="1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</row>
    <row r="940" ht="15.75" customHeight="1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</row>
    <row r="941" ht="15.75" customHeight="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</row>
    <row r="942" ht="15.75" customHeight="1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</row>
    <row r="943" ht="15.75" customHeight="1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</row>
    <row r="944" ht="15.75" customHeight="1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</row>
    <row r="945" ht="15.75" customHeight="1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</row>
    <row r="946" ht="15.75" customHeight="1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</row>
    <row r="947" ht="15.75" customHeight="1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</row>
    <row r="948" ht="15.75" customHeight="1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</row>
    <row r="949" ht="15.75" customHeight="1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</row>
    <row r="950" ht="15.75" customHeight="1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</row>
    <row r="951" ht="15.75" customHeight="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</row>
    <row r="952" ht="15.75" customHeight="1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</row>
    <row r="953" ht="15.75" customHeight="1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</row>
    <row r="954" ht="15.75" customHeight="1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</row>
    <row r="955" ht="15.75" customHeight="1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</row>
    <row r="956" ht="15.75" customHeight="1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</row>
    <row r="957" ht="15.75" customHeight="1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</row>
    <row r="958" ht="15.75" customHeight="1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</row>
    <row r="959" ht="15.75" customHeight="1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</row>
    <row r="960" ht="15.75" customHeight="1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</row>
    <row r="961" ht="15.75" customHeight="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</row>
    <row r="962" ht="15.75" customHeight="1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</row>
    <row r="963" ht="15.75" customHeight="1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</row>
    <row r="964" ht="15.75" customHeight="1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</row>
    <row r="965" ht="15.75" customHeight="1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</row>
    <row r="966" ht="15.75" customHeight="1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</row>
    <row r="967" ht="15.75" customHeight="1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</row>
    <row r="968" ht="15.75" customHeight="1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</row>
    <row r="969" ht="15.75" customHeight="1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</row>
    <row r="970" ht="15.75" customHeight="1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</row>
    <row r="971" ht="15.75" customHeight="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</row>
    <row r="972" ht="15.75" customHeight="1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</row>
    <row r="973" ht="15.75" customHeight="1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</row>
    <row r="974" ht="15.75" customHeight="1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</row>
    <row r="975" ht="15.75" customHeight="1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</row>
    <row r="976" ht="15.75" customHeight="1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</row>
    <row r="977" ht="15.75" customHeight="1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</row>
    <row r="978" ht="15.75" customHeight="1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</row>
    <row r="979" ht="15.75" customHeight="1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</row>
    <row r="980" ht="15.75" customHeight="1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</row>
    <row r="981" ht="15.75" customHeight="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</row>
    <row r="982" ht="15.75" customHeight="1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</row>
    <row r="983" ht="15.75" customHeight="1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</row>
    <row r="984" ht="15.75" customHeight="1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</row>
    <row r="985" ht="15.75" customHeight="1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</row>
    <row r="986" ht="15.75" customHeight="1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</row>
    <row r="987" ht="15.75" customHeight="1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</row>
    <row r="988" ht="15.75" customHeight="1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</row>
    <row r="989" ht="15.75" customHeight="1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</row>
    <row r="990" ht="15.75" customHeight="1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</row>
    <row r="991" ht="15.75" customHeight="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</row>
    <row r="992" ht="15.75" customHeight="1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</row>
    <row r="993" ht="15.75" customHeight="1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67.14"/>
    <col customWidth="1" min="3" max="3" width="16.57"/>
    <col customWidth="1" min="4" max="4" width="18.71"/>
    <col customWidth="1" min="5" max="5" width="15.71"/>
    <col customWidth="1" min="6" max="17" width="14.14"/>
    <col customWidth="1" min="18" max="27" width="8.71"/>
  </cols>
  <sheetData>
    <row r="1">
      <c r="A1" s="17" t="s">
        <v>1</v>
      </c>
      <c r="B1" s="17" t="s">
        <v>75</v>
      </c>
      <c r="C1" s="16" t="s">
        <v>212</v>
      </c>
      <c r="D1" s="16" t="s">
        <v>213</v>
      </c>
      <c r="E1" s="25" t="s">
        <v>214</v>
      </c>
      <c r="F1" s="44">
        <v>46023.0</v>
      </c>
      <c r="G1" s="44">
        <v>46054.0</v>
      </c>
      <c r="H1" s="44">
        <v>46082.0</v>
      </c>
      <c r="I1" s="44">
        <v>46113.0</v>
      </c>
      <c r="J1" s="44">
        <v>46143.0</v>
      </c>
      <c r="K1" s="44">
        <v>46174.0</v>
      </c>
      <c r="L1" s="44">
        <v>46204.0</v>
      </c>
      <c r="M1" s="44">
        <v>46235.0</v>
      </c>
      <c r="N1" s="44">
        <v>46266.0</v>
      </c>
      <c r="O1" s="44">
        <v>46296.0</v>
      </c>
      <c r="P1" s="44">
        <v>46327.0</v>
      </c>
      <c r="Q1" s="44">
        <v>46357.0</v>
      </c>
      <c r="R1" s="45"/>
      <c r="S1" s="45"/>
      <c r="T1" s="45"/>
      <c r="U1" s="45"/>
      <c r="V1" s="45"/>
      <c r="W1" s="45"/>
      <c r="X1" s="45"/>
      <c r="Y1" s="45"/>
      <c r="Z1" s="45"/>
      <c r="AA1" s="45"/>
    </row>
    <row r="2">
      <c r="A2" s="46" t="s">
        <v>79</v>
      </c>
      <c r="B2" s="46" t="s">
        <v>80</v>
      </c>
      <c r="C2" s="45" t="s">
        <v>9</v>
      </c>
      <c r="D2" s="47" t="s">
        <v>215</v>
      </c>
      <c r="E2" s="48">
        <f t="shared" ref="E2:E11" si="1">SUM(F2:Q2)</f>
        <v>0</v>
      </c>
      <c r="F2" s="48">
        <v>0.0</v>
      </c>
      <c r="G2" s="48">
        <v>0.0</v>
      </c>
      <c r="H2" s="48">
        <v>0.0</v>
      </c>
      <c r="I2" s="48">
        <v>0.0</v>
      </c>
      <c r="J2" s="48">
        <v>0.0</v>
      </c>
      <c r="K2" s="48">
        <v>0.0</v>
      </c>
      <c r="L2" s="48">
        <v>0.0</v>
      </c>
      <c r="M2" s="48">
        <v>0.0</v>
      </c>
      <c r="N2" s="48">
        <v>0.0</v>
      </c>
      <c r="O2" s="48">
        <v>0.0</v>
      </c>
      <c r="P2" s="48">
        <v>0.0</v>
      </c>
      <c r="Q2" s="48">
        <v>0.0</v>
      </c>
      <c r="R2" s="45"/>
      <c r="S2" s="45"/>
      <c r="T2" s="45"/>
      <c r="U2" s="45"/>
      <c r="V2" s="45"/>
      <c r="W2" s="45"/>
      <c r="X2" s="45"/>
      <c r="Y2" s="45"/>
      <c r="Z2" s="45"/>
      <c r="AA2" s="45"/>
    </row>
    <row r="3">
      <c r="A3" s="46" t="s">
        <v>90</v>
      </c>
      <c r="B3" s="46" t="s">
        <v>91</v>
      </c>
      <c r="C3" s="45" t="s">
        <v>9</v>
      </c>
      <c r="D3" s="47" t="s">
        <v>215</v>
      </c>
      <c r="E3" s="48">
        <f t="shared" si="1"/>
        <v>0</v>
      </c>
      <c r="F3" s="48">
        <v>0.0</v>
      </c>
      <c r="G3" s="48">
        <v>0.0</v>
      </c>
      <c r="H3" s="48">
        <v>0.0</v>
      </c>
      <c r="I3" s="48">
        <v>0.0</v>
      </c>
      <c r="J3" s="48">
        <v>0.0</v>
      </c>
      <c r="K3" s="48">
        <v>0.0</v>
      </c>
      <c r="L3" s="48">
        <v>0.0</v>
      </c>
      <c r="M3" s="48">
        <v>0.0</v>
      </c>
      <c r="N3" s="48">
        <v>0.0</v>
      </c>
      <c r="O3" s="48">
        <v>0.0</v>
      </c>
      <c r="P3" s="48">
        <v>0.0</v>
      </c>
      <c r="Q3" s="48">
        <v>0.0</v>
      </c>
      <c r="R3" s="45"/>
      <c r="S3" s="45"/>
      <c r="T3" s="45"/>
      <c r="U3" s="45"/>
      <c r="V3" s="45"/>
      <c r="W3" s="45"/>
      <c r="X3" s="45"/>
      <c r="Y3" s="45"/>
      <c r="Z3" s="45"/>
      <c r="AA3" s="45"/>
    </row>
    <row r="4">
      <c r="A4" s="49" t="s">
        <v>7</v>
      </c>
      <c r="B4" s="49" t="s">
        <v>8</v>
      </c>
      <c r="C4" s="45" t="s">
        <v>9</v>
      </c>
      <c r="D4" s="47" t="s">
        <v>215</v>
      </c>
      <c r="E4" s="48">
        <f t="shared" si="1"/>
        <v>0</v>
      </c>
      <c r="F4" s="48">
        <v>0.0</v>
      </c>
      <c r="G4" s="48">
        <v>0.0</v>
      </c>
      <c r="H4" s="48">
        <v>0.0</v>
      </c>
      <c r="I4" s="48">
        <v>0.0</v>
      </c>
      <c r="J4" s="48">
        <v>0.0</v>
      </c>
      <c r="K4" s="48">
        <v>0.0</v>
      </c>
      <c r="L4" s="48">
        <v>0.0</v>
      </c>
      <c r="M4" s="48">
        <v>0.0</v>
      </c>
      <c r="N4" s="48">
        <v>0.0</v>
      </c>
      <c r="O4" s="48">
        <v>0.0</v>
      </c>
      <c r="P4" s="48">
        <v>0.0</v>
      </c>
      <c r="Q4" s="48">
        <v>0.0</v>
      </c>
      <c r="R4" s="45"/>
      <c r="S4" s="45"/>
      <c r="T4" s="45"/>
      <c r="U4" s="45"/>
      <c r="V4" s="45"/>
      <c r="W4" s="45"/>
      <c r="X4" s="45"/>
      <c r="Y4" s="45"/>
      <c r="Z4" s="45"/>
      <c r="AA4" s="45"/>
    </row>
    <row r="5">
      <c r="A5" s="45" t="s">
        <v>10</v>
      </c>
      <c r="B5" s="45" t="s">
        <v>11</v>
      </c>
      <c r="C5" s="45" t="s">
        <v>9</v>
      </c>
      <c r="D5" s="47" t="s">
        <v>215</v>
      </c>
      <c r="E5" s="48">
        <f t="shared" si="1"/>
        <v>0</v>
      </c>
      <c r="F5" s="48">
        <v>0.0</v>
      </c>
      <c r="G5" s="48">
        <v>0.0</v>
      </c>
      <c r="H5" s="48">
        <v>0.0</v>
      </c>
      <c r="I5" s="48">
        <v>0.0</v>
      </c>
      <c r="J5" s="48">
        <v>0.0</v>
      </c>
      <c r="K5" s="48">
        <v>0.0</v>
      </c>
      <c r="L5" s="48">
        <v>0.0</v>
      </c>
      <c r="M5" s="48">
        <v>0.0</v>
      </c>
      <c r="N5" s="48">
        <v>0.0</v>
      </c>
      <c r="O5" s="48">
        <v>0.0</v>
      </c>
      <c r="P5" s="48">
        <v>0.0</v>
      </c>
      <c r="Q5" s="48">
        <v>0.0</v>
      </c>
      <c r="R5" s="45"/>
      <c r="S5" s="45"/>
      <c r="T5" s="45"/>
      <c r="U5" s="45"/>
      <c r="V5" s="45"/>
      <c r="W5" s="45"/>
      <c r="X5" s="45"/>
      <c r="Y5" s="45"/>
      <c r="Z5" s="45"/>
      <c r="AA5" s="45"/>
    </row>
    <row r="6">
      <c r="A6" s="45" t="s">
        <v>12</v>
      </c>
      <c r="B6" s="45" t="s">
        <v>13</v>
      </c>
      <c r="C6" s="45" t="s">
        <v>9</v>
      </c>
      <c r="D6" s="47" t="s">
        <v>215</v>
      </c>
      <c r="E6" s="48">
        <f t="shared" si="1"/>
        <v>1865718</v>
      </c>
      <c r="F6" s="48">
        <v>155476.5</v>
      </c>
      <c r="G6" s="48">
        <v>155476.5</v>
      </c>
      <c r="H6" s="48">
        <v>155476.5</v>
      </c>
      <c r="I6" s="48">
        <v>155476.5</v>
      </c>
      <c r="J6" s="48">
        <v>155476.5</v>
      </c>
      <c r="K6" s="48">
        <v>155476.5</v>
      </c>
      <c r="L6" s="48">
        <v>155476.5</v>
      </c>
      <c r="M6" s="48">
        <v>155476.5</v>
      </c>
      <c r="N6" s="48">
        <v>155476.5</v>
      </c>
      <c r="O6" s="48">
        <v>155476.5</v>
      </c>
      <c r="P6" s="48">
        <v>155476.5</v>
      </c>
      <c r="Q6" s="48">
        <v>155476.5</v>
      </c>
      <c r="R6" s="45"/>
      <c r="S6" s="45"/>
      <c r="T6" s="45"/>
      <c r="U6" s="45"/>
      <c r="V6" s="45"/>
      <c r="W6" s="45"/>
      <c r="X6" s="45"/>
      <c r="Y6" s="45"/>
      <c r="Z6" s="45"/>
      <c r="AA6" s="45"/>
    </row>
    <row r="7">
      <c r="A7" s="45" t="s">
        <v>14</v>
      </c>
      <c r="B7" s="45" t="s">
        <v>15</v>
      </c>
      <c r="C7" s="45" t="s">
        <v>9</v>
      </c>
      <c r="D7" s="47" t="s">
        <v>215</v>
      </c>
      <c r="E7" s="48">
        <f t="shared" si="1"/>
        <v>3955365.96</v>
      </c>
      <c r="F7" s="48">
        <v>329613.83</v>
      </c>
      <c r="G7" s="48">
        <v>329613.83</v>
      </c>
      <c r="H7" s="48">
        <v>329613.83</v>
      </c>
      <c r="I7" s="48">
        <v>329613.83</v>
      </c>
      <c r="J7" s="48">
        <v>329613.83</v>
      </c>
      <c r="K7" s="48">
        <v>329613.83</v>
      </c>
      <c r="L7" s="48">
        <v>329613.83</v>
      </c>
      <c r="M7" s="48">
        <v>329613.83</v>
      </c>
      <c r="N7" s="48">
        <v>329613.83</v>
      </c>
      <c r="O7" s="48">
        <v>329613.83</v>
      </c>
      <c r="P7" s="48">
        <v>329613.83</v>
      </c>
      <c r="Q7" s="48">
        <v>329613.83</v>
      </c>
      <c r="R7" s="45"/>
      <c r="S7" s="45"/>
      <c r="T7" s="45"/>
      <c r="U7" s="45"/>
      <c r="V7" s="45"/>
      <c r="W7" s="45"/>
      <c r="X7" s="45"/>
      <c r="Y7" s="45"/>
      <c r="Z7" s="45"/>
      <c r="AA7" s="45"/>
    </row>
    <row r="8">
      <c r="A8" s="45" t="s">
        <v>14</v>
      </c>
      <c r="B8" s="46" t="s">
        <v>216</v>
      </c>
      <c r="C8" s="46" t="s">
        <v>217</v>
      </c>
      <c r="D8" s="47" t="s">
        <v>215</v>
      </c>
      <c r="E8" s="48">
        <f t="shared" si="1"/>
        <v>196499</v>
      </c>
      <c r="F8" s="48">
        <v>196499.0</v>
      </c>
      <c r="G8" s="48">
        <v>0.0</v>
      </c>
      <c r="H8" s="48">
        <v>0.0</v>
      </c>
      <c r="I8" s="48">
        <v>0.0</v>
      </c>
      <c r="J8" s="48">
        <v>0.0</v>
      </c>
      <c r="K8" s="48">
        <v>0.0</v>
      </c>
      <c r="L8" s="48">
        <v>0.0</v>
      </c>
      <c r="M8" s="48">
        <v>0.0</v>
      </c>
      <c r="N8" s="48">
        <v>0.0</v>
      </c>
      <c r="O8" s="48">
        <v>0.0</v>
      </c>
      <c r="P8" s="48">
        <v>0.0</v>
      </c>
      <c r="Q8" s="48">
        <v>0.0</v>
      </c>
      <c r="R8" s="45"/>
      <c r="S8" s="45"/>
      <c r="T8" s="45"/>
      <c r="U8" s="45"/>
      <c r="V8" s="45"/>
      <c r="W8" s="45"/>
      <c r="X8" s="45"/>
      <c r="Y8" s="45"/>
      <c r="Z8" s="45"/>
      <c r="AA8" s="45"/>
    </row>
    <row r="9">
      <c r="A9" s="49" t="s">
        <v>16</v>
      </c>
      <c r="B9" s="46" t="s">
        <v>218</v>
      </c>
      <c r="C9" s="45" t="s">
        <v>9</v>
      </c>
      <c r="D9" s="47" t="s">
        <v>215</v>
      </c>
      <c r="E9" s="48">
        <f t="shared" si="1"/>
        <v>100000</v>
      </c>
      <c r="F9" s="48">
        <v>100000.0</v>
      </c>
      <c r="G9" s="48">
        <v>0.0</v>
      </c>
      <c r="H9" s="48">
        <v>0.0</v>
      </c>
      <c r="I9" s="48">
        <v>0.0</v>
      </c>
      <c r="J9" s="48">
        <v>0.0</v>
      </c>
      <c r="K9" s="48">
        <v>0.0</v>
      </c>
      <c r="L9" s="48">
        <v>0.0</v>
      </c>
      <c r="M9" s="48">
        <v>0.0</v>
      </c>
      <c r="N9" s="48">
        <v>0.0</v>
      </c>
      <c r="O9" s="48">
        <v>0.0</v>
      </c>
      <c r="P9" s="48">
        <v>0.0</v>
      </c>
      <c r="Q9" s="48">
        <v>0.0</v>
      </c>
      <c r="R9" s="45"/>
      <c r="S9" s="45"/>
      <c r="T9" s="45"/>
      <c r="U9" s="45"/>
      <c r="V9" s="45"/>
      <c r="W9" s="45"/>
      <c r="X9" s="45"/>
      <c r="Y9" s="45"/>
      <c r="Z9" s="45"/>
      <c r="AA9" s="45"/>
    </row>
    <row r="10">
      <c r="A10" s="49" t="s">
        <v>16</v>
      </c>
      <c r="B10" s="46" t="s">
        <v>219</v>
      </c>
      <c r="C10" s="46" t="s">
        <v>217</v>
      </c>
      <c r="D10" s="47" t="s">
        <v>215</v>
      </c>
      <c r="E10" s="48">
        <f t="shared" si="1"/>
        <v>90000</v>
      </c>
      <c r="F10" s="48">
        <v>0.0</v>
      </c>
      <c r="G10" s="48">
        <v>0.0</v>
      </c>
      <c r="H10" s="48">
        <v>45000.0</v>
      </c>
      <c r="I10" s="48">
        <v>45000.0</v>
      </c>
      <c r="J10" s="48">
        <v>0.0</v>
      </c>
      <c r="K10" s="48">
        <v>0.0</v>
      </c>
      <c r="L10" s="48">
        <v>0.0</v>
      </c>
      <c r="M10" s="48">
        <v>0.0</v>
      </c>
      <c r="N10" s="48">
        <v>0.0</v>
      </c>
      <c r="O10" s="48">
        <v>0.0</v>
      </c>
      <c r="P10" s="48">
        <v>0.0</v>
      </c>
      <c r="Q10" s="48">
        <v>0.0</v>
      </c>
      <c r="R10" s="45"/>
      <c r="S10" s="45"/>
      <c r="T10" s="45"/>
      <c r="U10" s="45"/>
      <c r="V10" s="45"/>
      <c r="W10" s="45"/>
      <c r="X10" s="45"/>
      <c r="Y10" s="45"/>
      <c r="Z10" s="45"/>
      <c r="AA10" s="45"/>
    </row>
    <row r="11">
      <c r="A11" s="4" t="s">
        <v>14</v>
      </c>
      <c r="B11" s="4" t="s">
        <v>15</v>
      </c>
      <c r="C11" s="46" t="s">
        <v>220</v>
      </c>
      <c r="D11" s="50" t="s">
        <v>221</v>
      </c>
      <c r="E11" s="48">
        <f t="shared" si="1"/>
        <v>2400000</v>
      </c>
      <c r="F11" s="48">
        <v>0.0</v>
      </c>
      <c r="G11" s="48">
        <v>0.0</v>
      </c>
      <c r="H11" s="48">
        <v>0.0</v>
      </c>
      <c r="I11" s="48">
        <v>0.0</v>
      </c>
      <c r="J11" s="48">
        <v>300000.0</v>
      </c>
      <c r="K11" s="48">
        <v>300000.0</v>
      </c>
      <c r="L11" s="48">
        <v>300000.0</v>
      </c>
      <c r="M11" s="48">
        <v>300000.0</v>
      </c>
      <c r="N11" s="48">
        <v>300000.0</v>
      </c>
      <c r="O11" s="48">
        <v>300000.0</v>
      </c>
      <c r="P11" s="48">
        <v>300000.0</v>
      </c>
      <c r="Q11" s="48">
        <v>300000.0</v>
      </c>
      <c r="R11" s="45"/>
      <c r="S11" s="45"/>
      <c r="T11" s="45"/>
      <c r="U11" s="45"/>
      <c r="V11" s="45"/>
      <c r="W11" s="45"/>
      <c r="X11" s="45"/>
      <c r="Y11" s="45"/>
      <c r="Z11" s="45"/>
      <c r="AA11" s="45"/>
    </row>
    <row r="12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</row>
    <row r="13" ht="15.75" customHeight="1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</row>
    <row r="14" ht="15.75" customHeight="1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</row>
    <row r="15" ht="15.75" customHeight="1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 ht="15.75" customHeight="1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</row>
    <row r="17" ht="15.75" customHeight="1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</row>
    <row r="18" ht="15.75" customHeight="1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</row>
    <row r="19" ht="15.75" customHeight="1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</row>
    <row r="20" ht="15.75" customHeight="1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</row>
    <row r="21" ht="15.75" customHeight="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</row>
    <row r="22" ht="15.75" customHeight="1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</row>
    <row r="23" ht="15.75" customHeight="1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</row>
    <row r="24" ht="15.75" customHeight="1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</row>
    <row r="25" ht="15.75" customHeight="1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 ht="15.75" customHeight="1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 ht="15.75" customHeight="1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 ht="15.75" customHeight="1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</row>
    <row r="29" ht="15.75" customHeight="1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</row>
    <row r="30" ht="15.75" customHeight="1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</row>
    <row r="31" ht="15.75" customHeight="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</row>
    <row r="32" ht="15.75" customHeight="1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  <row r="33" ht="15.75" customHeight="1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</row>
    <row r="34" ht="15.75" customHeight="1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</row>
    <row r="35" ht="15.75" customHeight="1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</row>
    <row r="36" ht="15.75" customHeight="1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</row>
    <row r="37" ht="15.75" customHeight="1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</row>
    <row r="38" ht="15.75" customHeight="1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</row>
    <row r="39" ht="15.75" customHeight="1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</row>
    <row r="40" ht="15.75" customHeight="1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</row>
    <row r="41" ht="15.75" customHeight="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</row>
    <row r="42" ht="15.75" customHeight="1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</row>
    <row r="43" ht="15.75" customHeight="1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</row>
    <row r="44" ht="15.75" customHeight="1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</row>
    <row r="45" ht="15.75" customHeight="1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</row>
    <row r="46" ht="15.75" customHeight="1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</row>
    <row r="47" ht="15.75" customHeight="1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</row>
    <row r="48" ht="15.75" customHeight="1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</row>
    <row r="49" ht="15.75" customHeight="1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</row>
    <row r="50" ht="15.75" customHeight="1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</row>
    <row r="51" ht="15.75" customHeight="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</row>
    <row r="52" ht="15.75" customHeight="1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</row>
    <row r="53" ht="15.75" customHeight="1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</row>
    <row r="54" ht="15.75" customHeight="1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</row>
    <row r="55" ht="15.75" customHeight="1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</row>
    <row r="56" ht="15.75" customHeight="1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</row>
    <row r="57" ht="15.75" customHeight="1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</row>
    <row r="58" ht="15.75" customHeight="1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</row>
    <row r="59" ht="15.75" customHeight="1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</row>
    <row r="60" ht="15.75" customHeight="1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</row>
    <row r="61" ht="15.75" customHeight="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</row>
    <row r="62" ht="15.75" customHeight="1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</row>
    <row r="63" ht="15.75" customHeight="1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</row>
    <row r="64" ht="15.75" customHeight="1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</row>
    <row r="65" ht="15.75" customHeight="1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</row>
    <row r="66" ht="15.75" customHeight="1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</row>
    <row r="67" ht="15.75" customHeight="1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</row>
    <row r="68" ht="15.75" customHeight="1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</row>
    <row r="69" ht="15.75" customHeight="1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</row>
    <row r="70" ht="15.75" customHeight="1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</row>
    <row r="71" ht="15.75" customHeight="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</row>
    <row r="72" ht="15.75" customHeight="1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</row>
    <row r="73" ht="15.75" customHeight="1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</row>
    <row r="74" ht="15.75" customHeight="1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</row>
    <row r="75" ht="15.75" customHeight="1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</row>
    <row r="76" ht="15.75" customHeight="1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</row>
    <row r="77" ht="15.75" customHeight="1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</row>
    <row r="78" ht="15.75" customHeight="1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</row>
    <row r="79" ht="15.75" customHeight="1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</row>
    <row r="80" ht="15.75" customHeight="1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</row>
    <row r="81" ht="15.75" customHeight="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</row>
    <row r="82" ht="15.75" customHeight="1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</row>
    <row r="83" ht="15.75" customHeight="1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</row>
    <row r="84" ht="15.75" customHeight="1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</row>
    <row r="85" ht="15.75" customHeight="1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</row>
    <row r="86" ht="15.75" customHeight="1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</row>
    <row r="87" ht="15.75" customHeight="1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</row>
    <row r="88" ht="15.75" customHeight="1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</row>
    <row r="89" ht="15.75" customHeight="1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</row>
    <row r="90" ht="15.75" customHeight="1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</row>
    <row r="91" ht="15.75" customHeight="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</row>
    <row r="92" ht="15.75" customHeight="1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</row>
    <row r="93" ht="15.75" customHeight="1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</row>
    <row r="94" ht="15.75" customHeight="1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</row>
    <row r="95" ht="15.75" customHeight="1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</row>
    <row r="96" ht="15.75" customHeight="1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</row>
    <row r="97" ht="15.75" customHeight="1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</row>
    <row r="98" ht="15.75" customHeight="1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</row>
    <row r="99" ht="15.75" customHeight="1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</row>
    <row r="100" ht="15.75" customHeight="1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</row>
    <row r="101" ht="15.75" customHeight="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</row>
    <row r="102" ht="15.75" customHeight="1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</row>
    <row r="103" ht="15.75" customHeight="1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</row>
    <row r="104" ht="15.75" customHeight="1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</row>
    <row r="105" ht="15.75" customHeight="1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</row>
    <row r="106" ht="15.75" customHeight="1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</row>
    <row r="107" ht="15.75" customHeight="1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</row>
    <row r="108" ht="15.75" customHeight="1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</row>
    <row r="109" ht="15.75" customHeight="1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</row>
    <row r="110" ht="15.75" customHeight="1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</row>
    <row r="111" ht="15.75" customHeight="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</row>
    <row r="112" ht="15.75" customHeight="1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</row>
    <row r="113" ht="15.75" customHeight="1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</row>
    <row r="114" ht="15.75" customHeight="1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</row>
    <row r="115" ht="15.75" customHeight="1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</row>
    <row r="116" ht="15.75" customHeight="1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</row>
    <row r="117" ht="15.75" customHeight="1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</row>
    <row r="118" ht="15.75" customHeight="1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</row>
    <row r="119" ht="15.75" customHeight="1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</row>
    <row r="120" ht="15.75" customHeight="1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</row>
    <row r="121" ht="15.75" customHeight="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</row>
    <row r="122" ht="15.75" customHeight="1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</row>
    <row r="123" ht="15.75" customHeight="1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</row>
    <row r="124" ht="15.75" customHeight="1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</row>
    <row r="125" ht="15.75" customHeight="1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</row>
    <row r="126" ht="15.75" customHeight="1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</row>
    <row r="127" ht="15.75" customHeight="1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</row>
    <row r="128" ht="15.75" customHeight="1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</row>
    <row r="129" ht="15.75" customHeight="1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</row>
    <row r="130" ht="15.75" customHeight="1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</row>
    <row r="131" ht="15.75" customHeight="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</row>
    <row r="132" ht="15.75" customHeight="1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</row>
    <row r="133" ht="15.75" customHeight="1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</row>
    <row r="134" ht="15.75" customHeight="1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</row>
    <row r="135" ht="15.75" customHeight="1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</row>
    <row r="136" ht="15.75" customHeight="1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</row>
    <row r="137" ht="15.75" customHeight="1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</row>
    <row r="138" ht="15.75" customHeight="1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</row>
    <row r="139" ht="15.75" customHeight="1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</row>
    <row r="140" ht="15.75" customHeight="1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</row>
    <row r="141" ht="15.75" customHeight="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</row>
    <row r="142" ht="15.75" customHeight="1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</row>
    <row r="143" ht="15.75" customHeight="1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</row>
    <row r="144" ht="15.75" customHeight="1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</row>
    <row r="145" ht="15.75" customHeight="1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</row>
    <row r="146" ht="15.75" customHeight="1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</row>
    <row r="147" ht="15.75" customHeight="1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</row>
    <row r="148" ht="15.75" customHeight="1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</row>
    <row r="149" ht="15.75" customHeight="1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</row>
    <row r="150" ht="15.75" customHeight="1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</row>
    <row r="151" ht="15.75" customHeight="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</row>
    <row r="152" ht="15.75" customHeight="1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</row>
    <row r="153" ht="15.75" customHeight="1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</row>
    <row r="154" ht="15.75" customHeight="1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</row>
    <row r="155" ht="15.75" customHeight="1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</row>
    <row r="156" ht="15.75" customHeight="1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</row>
    <row r="157" ht="15.75" customHeight="1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</row>
    <row r="158" ht="15.75" customHeight="1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</row>
    <row r="159" ht="15.75" customHeight="1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</row>
    <row r="160" ht="15.75" customHeight="1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</row>
    <row r="161" ht="15.75" customHeight="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</row>
    <row r="162" ht="15.75" customHeight="1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</row>
    <row r="163" ht="15.75" customHeight="1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</row>
    <row r="164" ht="15.75" customHeight="1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</row>
    <row r="165" ht="15.75" customHeight="1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</row>
    <row r="166" ht="15.75" customHeight="1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</row>
    <row r="167" ht="15.75" customHeight="1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</row>
    <row r="168" ht="15.75" customHeight="1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</row>
    <row r="169" ht="15.75" customHeight="1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</row>
    <row r="170" ht="15.75" customHeight="1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</row>
    <row r="171" ht="15.75" customHeight="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</row>
    <row r="172" ht="15.75" customHeight="1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</row>
    <row r="173" ht="15.75" customHeight="1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</row>
    <row r="174" ht="15.75" customHeight="1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</row>
    <row r="175" ht="15.75" customHeight="1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</row>
    <row r="176" ht="15.75" customHeight="1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</row>
    <row r="177" ht="15.75" customHeight="1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</row>
    <row r="178" ht="15.75" customHeight="1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</row>
    <row r="179" ht="15.75" customHeight="1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</row>
    <row r="180" ht="15.75" customHeight="1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</row>
    <row r="181" ht="15.75" customHeight="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</row>
    <row r="182" ht="15.75" customHeight="1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</row>
    <row r="183" ht="15.75" customHeight="1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</row>
    <row r="184" ht="15.75" customHeight="1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</row>
    <row r="185" ht="15.75" customHeight="1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</row>
    <row r="186" ht="15.75" customHeight="1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</row>
    <row r="187" ht="15.75" customHeight="1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</row>
    <row r="188" ht="15.75" customHeight="1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</row>
    <row r="189" ht="15.75" customHeight="1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</row>
    <row r="190" ht="15.75" customHeight="1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</row>
    <row r="191" ht="15.75" customHeight="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</row>
    <row r="192" ht="15.75" customHeight="1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</row>
    <row r="193" ht="15.75" customHeight="1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</row>
    <row r="194" ht="15.75" customHeight="1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</row>
    <row r="195" ht="15.75" customHeight="1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</row>
    <row r="196" ht="15.75" customHeight="1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</row>
    <row r="197" ht="15.75" customHeight="1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</row>
    <row r="198" ht="15.75" customHeight="1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</row>
    <row r="199" ht="15.75" customHeight="1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</row>
    <row r="200" ht="15.75" customHeight="1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</row>
    <row r="201" ht="15.75" customHeight="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</row>
    <row r="202" ht="15.75" customHeight="1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</row>
    <row r="203" ht="15.75" customHeight="1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</row>
    <row r="204" ht="15.75" customHeight="1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</row>
    <row r="205" ht="15.75" customHeight="1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</row>
    <row r="206" ht="15.75" customHeight="1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</row>
    <row r="207" ht="15.75" customHeight="1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</row>
    <row r="208" ht="15.75" customHeight="1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</row>
    <row r="209" ht="15.75" customHeight="1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</row>
    <row r="210" ht="15.75" customHeight="1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</row>
    <row r="211" ht="15.75" customHeight="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</row>
    <row r="212" ht="15.75" customHeight="1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</row>
    <row r="213" ht="15.75" customHeight="1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</row>
    <row r="214" ht="15.75" customHeight="1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</row>
    <row r="215" ht="15.75" customHeight="1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</row>
    <row r="216" ht="15.75" customHeight="1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</row>
    <row r="217" ht="15.75" customHeight="1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</row>
    <row r="218" ht="15.75" customHeight="1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</row>
    <row r="219" ht="15.75" customHeight="1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</row>
    <row r="220" ht="15.75" customHeight="1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</row>
    <row r="221" ht="15.75" customHeight="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</row>
    <row r="222" ht="15.75" customHeight="1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</row>
    <row r="223" ht="15.75" customHeight="1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</row>
    <row r="224" ht="15.75" customHeight="1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</row>
    <row r="225" ht="15.75" customHeight="1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</row>
    <row r="226" ht="15.75" customHeight="1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</row>
    <row r="227" ht="15.75" customHeight="1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</row>
    <row r="228" ht="15.75" customHeight="1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</row>
    <row r="229" ht="15.75" customHeight="1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</row>
    <row r="230" ht="15.75" customHeight="1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</row>
    <row r="231" ht="15.75" customHeight="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</row>
    <row r="232" ht="15.75" customHeight="1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</row>
    <row r="233" ht="15.75" customHeight="1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</row>
    <row r="234" ht="15.75" customHeight="1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</row>
    <row r="235" ht="15.75" customHeight="1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</row>
    <row r="236" ht="15.75" customHeight="1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</row>
    <row r="237" ht="15.75" customHeight="1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</row>
    <row r="238" ht="15.75" customHeight="1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</row>
    <row r="239" ht="15.75" customHeight="1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</row>
    <row r="240" ht="15.75" customHeight="1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</row>
    <row r="241" ht="15.75" customHeight="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</row>
    <row r="242" ht="15.75" customHeight="1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</row>
    <row r="243" ht="15.75" customHeight="1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</row>
    <row r="244" ht="15.75" customHeight="1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</row>
    <row r="245" ht="15.75" customHeight="1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</row>
    <row r="246" ht="15.75" customHeight="1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</row>
    <row r="247" ht="15.75" customHeight="1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</row>
    <row r="248" ht="15.75" customHeight="1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</row>
    <row r="249" ht="15.75" customHeight="1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</row>
    <row r="250" ht="15.75" customHeight="1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</row>
    <row r="251" ht="15.75" customHeight="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</row>
    <row r="252" ht="15.75" customHeight="1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</row>
    <row r="253" ht="15.75" customHeight="1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</row>
    <row r="254" ht="15.75" customHeight="1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</row>
    <row r="255" ht="15.75" customHeight="1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</row>
    <row r="256" ht="15.75" customHeight="1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</row>
    <row r="257" ht="15.75" customHeight="1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</row>
    <row r="258" ht="15.75" customHeight="1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</row>
    <row r="259" ht="15.75" customHeight="1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</row>
    <row r="260" ht="15.75" customHeight="1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</row>
    <row r="261" ht="15.75" customHeight="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</row>
    <row r="262" ht="15.75" customHeight="1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</row>
    <row r="263" ht="15.75" customHeight="1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</row>
    <row r="264" ht="15.75" customHeight="1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</row>
    <row r="265" ht="15.75" customHeight="1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</row>
    <row r="266" ht="15.75" customHeight="1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</row>
    <row r="267" ht="15.75" customHeight="1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</row>
    <row r="268" ht="15.75" customHeight="1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</row>
    <row r="269" ht="15.75" customHeight="1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</row>
    <row r="270" ht="15.75" customHeight="1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</row>
    <row r="271" ht="15.75" customHeight="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</row>
    <row r="272" ht="15.75" customHeight="1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</row>
    <row r="273" ht="15.75" customHeight="1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</row>
    <row r="274" ht="15.75" customHeight="1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</row>
    <row r="275" ht="15.75" customHeight="1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</row>
    <row r="276" ht="15.75" customHeight="1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</row>
    <row r="277" ht="15.75" customHeight="1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</row>
    <row r="278" ht="15.75" customHeight="1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</row>
    <row r="279" ht="15.75" customHeight="1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</row>
    <row r="280" ht="15.75" customHeight="1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</row>
    <row r="281" ht="15.75" customHeight="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</row>
    <row r="282" ht="15.75" customHeight="1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</row>
    <row r="283" ht="15.75" customHeight="1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</row>
    <row r="284" ht="15.75" customHeight="1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</row>
    <row r="285" ht="15.75" customHeight="1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</row>
    <row r="286" ht="15.75" customHeight="1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</row>
    <row r="287" ht="15.75" customHeight="1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</row>
    <row r="288" ht="15.75" customHeight="1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</row>
    <row r="289" ht="15.75" customHeight="1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</row>
    <row r="290" ht="15.75" customHeight="1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</row>
    <row r="291" ht="15.75" customHeight="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</row>
    <row r="292" ht="15.75" customHeight="1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</row>
    <row r="293" ht="15.75" customHeight="1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</row>
    <row r="294" ht="15.75" customHeight="1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</row>
    <row r="295" ht="15.75" customHeight="1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</row>
    <row r="296" ht="15.75" customHeight="1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</row>
    <row r="297" ht="15.75" customHeight="1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</row>
    <row r="298" ht="15.75" customHeight="1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</row>
    <row r="299" ht="15.75" customHeight="1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</row>
    <row r="300" ht="15.75" customHeight="1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</row>
    <row r="301" ht="15.75" customHeight="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</row>
    <row r="302" ht="15.75" customHeight="1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</row>
    <row r="303" ht="15.75" customHeight="1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</row>
    <row r="304" ht="15.75" customHeight="1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</row>
    <row r="305" ht="15.75" customHeight="1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</row>
    <row r="306" ht="15.75" customHeight="1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</row>
    <row r="307" ht="15.75" customHeight="1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</row>
    <row r="308" ht="15.75" customHeight="1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</row>
    <row r="309" ht="15.75" customHeight="1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</row>
    <row r="310" ht="15.75" customHeight="1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</row>
    <row r="311" ht="15.75" customHeight="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</row>
    <row r="312" ht="15.75" customHeight="1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</row>
    <row r="313" ht="15.75" customHeight="1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</row>
    <row r="314" ht="15.75" customHeight="1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</row>
    <row r="315" ht="15.75" customHeight="1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</row>
    <row r="316" ht="15.75" customHeight="1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</row>
    <row r="317" ht="15.75" customHeight="1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</row>
    <row r="318" ht="15.75" customHeight="1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</row>
    <row r="319" ht="15.75" customHeight="1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</row>
    <row r="320" ht="15.75" customHeight="1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</row>
    <row r="321" ht="15.75" customHeight="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</row>
    <row r="322" ht="15.75" customHeight="1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</row>
    <row r="323" ht="15.75" customHeight="1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</row>
    <row r="324" ht="15.75" customHeight="1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</row>
    <row r="325" ht="15.75" customHeight="1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</row>
    <row r="326" ht="15.75" customHeight="1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</row>
    <row r="327" ht="15.75" customHeight="1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</row>
    <row r="328" ht="15.75" customHeight="1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</row>
    <row r="329" ht="15.75" customHeight="1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</row>
    <row r="330" ht="15.75" customHeight="1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</row>
    <row r="331" ht="15.75" customHeight="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</row>
    <row r="332" ht="15.75" customHeight="1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</row>
    <row r="333" ht="15.75" customHeight="1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</row>
    <row r="334" ht="15.75" customHeight="1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</row>
    <row r="335" ht="15.75" customHeight="1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</row>
    <row r="336" ht="15.75" customHeight="1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</row>
    <row r="337" ht="15.75" customHeight="1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</row>
    <row r="338" ht="15.75" customHeight="1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</row>
    <row r="339" ht="15.75" customHeight="1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</row>
    <row r="340" ht="15.75" customHeight="1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</row>
    <row r="341" ht="15.75" customHeight="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</row>
    <row r="342" ht="15.75" customHeight="1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</row>
    <row r="343" ht="15.75" customHeight="1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</row>
    <row r="344" ht="15.75" customHeight="1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</row>
    <row r="345" ht="15.75" customHeight="1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</row>
    <row r="346" ht="15.75" customHeight="1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</row>
    <row r="347" ht="15.75" customHeight="1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</row>
    <row r="348" ht="15.75" customHeight="1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</row>
    <row r="349" ht="15.75" customHeight="1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</row>
    <row r="350" ht="15.75" customHeight="1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</row>
    <row r="351" ht="15.75" customHeight="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</row>
    <row r="352" ht="15.75" customHeight="1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</row>
    <row r="353" ht="15.75" customHeight="1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</row>
    <row r="354" ht="15.75" customHeight="1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</row>
    <row r="355" ht="15.75" customHeight="1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</row>
    <row r="356" ht="15.75" customHeight="1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</row>
    <row r="357" ht="15.75" customHeight="1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</row>
    <row r="358" ht="15.75" customHeight="1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</row>
    <row r="359" ht="15.75" customHeight="1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</row>
    <row r="360" ht="15.75" customHeight="1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</row>
    <row r="361" ht="15.75" customHeight="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</row>
    <row r="362" ht="15.75" customHeight="1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</row>
    <row r="363" ht="15.75" customHeight="1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</row>
    <row r="364" ht="15.75" customHeight="1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</row>
    <row r="365" ht="15.75" customHeight="1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</row>
    <row r="366" ht="15.75" customHeight="1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</row>
    <row r="367" ht="15.75" customHeight="1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</row>
    <row r="368" ht="15.75" customHeight="1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</row>
    <row r="369" ht="15.75" customHeight="1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</row>
    <row r="370" ht="15.75" customHeight="1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</row>
    <row r="371" ht="15.75" customHeight="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</row>
    <row r="372" ht="15.75" customHeight="1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</row>
    <row r="373" ht="15.75" customHeight="1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</row>
    <row r="374" ht="15.75" customHeight="1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</row>
    <row r="375" ht="15.75" customHeight="1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</row>
    <row r="376" ht="15.75" customHeight="1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</row>
    <row r="377" ht="15.75" customHeight="1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</row>
    <row r="378" ht="15.75" customHeight="1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</row>
    <row r="379" ht="15.75" customHeight="1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</row>
    <row r="380" ht="15.75" customHeight="1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</row>
    <row r="381" ht="15.75" customHeight="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</row>
    <row r="382" ht="15.75" customHeight="1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</row>
    <row r="383" ht="15.75" customHeight="1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</row>
    <row r="384" ht="15.75" customHeight="1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</row>
    <row r="385" ht="15.75" customHeight="1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</row>
    <row r="386" ht="15.75" customHeight="1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</row>
    <row r="387" ht="15.75" customHeight="1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</row>
    <row r="388" ht="15.75" customHeight="1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</row>
    <row r="389" ht="15.75" customHeight="1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</row>
    <row r="390" ht="15.75" customHeight="1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</row>
    <row r="391" ht="15.75" customHeight="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</row>
    <row r="392" ht="15.75" customHeight="1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</row>
    <row r="393" ht="15.75" customHeight="1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</row>
    <row r="394" ht="15.75" customHeight="1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</row>
    <row r="395" ht="15.75" customHeight="1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</row>
    <row r="396" ht="15.75" customHeight="1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</row>
    <row r="397" ht="15.75" customHeight="1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</row>
    <row r="398" ht="15.75" customHeight="1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</row>
    <row r="399" ht="15.75" customHeight="1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</row>
    <row r="400" ht="15.75" customHeight="1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</row>
    <row r="401" ht="15.75" customHeight="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</row>
    <row r="402" ht="15.75" customHeight="1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</row>
    <row r="403" ht="15.75" customHeight="1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</row>
    <row r="404" ht="15.75" customHeight="1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</row>
    <row r="405" ht="15.75" customHeight="1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</row>
    <row r="406" ht="15.75" customHeight="1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</row>
    <row r="407" ht="15.75" customHeight="1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</row>
    <row r="408" ht="15.75" customHeight="1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</row>
    <row r="409" ht="15.75" customHeight="1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</row>
    <row r="410" ht="15.75" customHeight="1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</row>
    <row r="411" ht="15.75" customHeight="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</row>
    <row r="412" ht="15.75" customHeight="1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</row>
    <row r="413" ht="15.75" customHeight="1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</row>
    <row r="414" ht="15.75" customHeight="1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</row>
    <row r="415" ht="15.75" customHeight="1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</row>
    <row r="416" ht="15.75" customHeight="1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</row>
    <row r="417" ht="15.75" customHeight="1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</row>
    <row r="418" ht="15.75" customHeight="1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</row>
    <row r="419" ht="15.75" customHeight="1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</row>
    <row r="420" ht="15.75" customHeight="1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</row>
    <row r="421" ht="15.75" customHeight="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</row>
    <row r="422" ht="15.75" customHeight="1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</row>
    <row r="423" ht="15.75" customHeight="1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</row>
    <row r="424" ht="15.75" customHeight="1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</row>
    <row r="425" ht="15.75" customHeight="1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</row>
    <row r="426" ht="15.75" customHeight="1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</row>
    <row r="427" ht="15.75" customHeight="1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</row>
    <row r="428" ht="15.75" customHeight="1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</row>
    <row r="429" ht="15.75" customHeight="1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</row>
    <row r="430" ht="15.75" customHeight="1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</row>
    <row r="431" ht="15.75" customHeight="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</row>
    <row r="432" ht="15.75" customHeight="1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</row>
    <row r="433" ht="15.75" customHeight="1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</row>
    <row r="434" ht="15.75" customHeight="1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</row>
    <row r="435" ht="15.75" customHeight="1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</row>
    <row r="436" ht="15.75" customHeight="1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</row>
    <row r="437" ht="15.75" customHeight="1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</row>
    <row r="438" ht="15.75" customHeight="1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</row>
    <row r="439" ht="15.75" customHeight="1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</row>
    <row r="440" ht="15.75" customHeight="1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</row>
    <row r="441" ht="15.75" customHeight="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</row>
    <row r="442" ht="15.75" customHeight="1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</row>
    <row r="443" ht="15.75" customHeight="1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</row>
    <row r="444" ht="15.75" customHeight="1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</row>
    <row r="445" ht="15.75" customHeight="1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</row>
    <row r="446" ht="15.75" customHeight="1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</row>
    <row r="447" ht="15.75" customHeight="1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</row>
    <row r="448" ht="15.75" customHeight="1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</row>
    <row r="449" ht="15.75" customHeight="1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</row>
    <row r="450" ht="15.75" customHeight="1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</row>
    <row r="451" ht="15.75" customHeight="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</row>
    <row r="452" ht="15.75" customHeight="1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</row>
    <row r="453" ht="15.75" customHeight="1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</row>
    <row r="454" ht="15.75" customHeight="1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</row>
    <row r="455" ht="15.75" customHeight="1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</row>
    <row r="456" ht="15.75" customHeight="1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</row>
    <row r="457" ht="15.75" customHeight="1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</row>
    <row r="458" ht="15.75" customHeight="1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</row>
    <row r="459" ht="15.75" customHeight="1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</row>
    <row r="460" ht="15.75" customHeight="1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</row>
    <row r="461" ht="15.75" customHeight="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</row>
    <row r="462" ht="15.75" customHeight="1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</row>
    <row r="463" ht="15.75" customHeight="1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</row>
    <row r="464" ht="15.75" customHeight="1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</row>
    <row r="465" ht="15.75" customHeight="1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</row>
    <row r="466" ht="15.75" customHeight="1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</row>
    <row r="467" ht="15.75" customHeight="1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</row>
    <row r="468" ht="15.75" customHeight="1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</row>
    <row r="469" ht="15.75" customHeight="1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</row>
    <row r="470" ht="15.75" customHeight="1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</row>
    <row r="471" ht="15.75" customHeight="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</row>
    <row r="472" ht="15.75" customHeight="1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</row>
    <row r="473" ht="15.75" customHeight="1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</row>
    <row r="474" ht="15.75" customHeight="1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</row>
    <row r="475" ht="15.75" customHeight="1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</row>
    <row r="476" ht="15.75" customHeight="1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</row>
    <row r="477" ht="15.75" customHeight="1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</row>
    <row r="478" ht="15.75" customHeight="1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</row>
    <row r="479" ht="15.75" customHeight="1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</row>
    <row r="480" ht="15.75" customHeight="1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</row>
    <row r="481" ht="15.75" customHeight="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</row>
    <row r="482" ht="15.75" customHeight="1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</row>
    <row r="483" ht="15.75" customHeight="1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</row>
    <row r="484" ht="15.75" customHeight="1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</row>
    <row r="485" ht="15.75" customHeight="1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</row>
    <row r="486" ht="15.75" customHeight="1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</row>
    <row r="487" ht="15.75" customHeight="1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</row>
    <row r="488" ht="15.75" customHeight="1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</row>
    <row r="489" ht="15.75" customHeight="1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</row>
    <row r="490" ht="15.75" customHeight="1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</row>
    <row r="491" ht="15.75" customHeight="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</row>
    <row r="492" ht="15.75" customHeight="1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</row>
    <row r="493" ht="15.75" customHeight="1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</row>
    <row r="494" ht="15.75" customHeight="1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</row>
    <row r="495" ht="15.75" customHeight="1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</row>
    <row r="496" ht="15.75" customHeight="1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</row>
    <row r="497" ht="15.75" customHeight="1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</row>
    <row r="498" ht="15.75" customHeight="1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</row>
    <row r="499" ht="15.75" customHeight="1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</row>
    <row r="500" ht="15.75" customHeight="1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</row>
    <row r="501" ht="15.75" customHeight="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</row>
    <row r="502" ht="15.75" customHeight="1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</row>
    <row r="503" ht="15.75" customHeight="1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</row>
    <row r="504" ht="15.75" customHeight="1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</row>
    <row r="505" ht="15.75" customHeight="1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</row>
    <row r="506" ht="15.75" customHeight="1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</row>
    <row r="507" ht="15.75" customHeight="1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</row>
    <row r="508" ht="15.75" customHeight="1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</row>
    <row r="509" ht="15.75" customHeight="1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</row>
    <row r="510" ht="15.75" customHeight="1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</row>
    <row r="511" ht="15.75" customHeight="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</row>
    <row r="512" ht="15.75" customHeight="1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</row>
    <row r="513" ht="15.75" customHeight="1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</row>
    <row r="514" ht="15.75" customHeight="1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</row>
    <row r="515" ht="15.75" customHeight="1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</row>
    <row r="516" ht="15.75" customHeight="1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</row>
    <row r="517" ht="15.75" customHeight="1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</row>
    <row r="518" ht="15.75" customHeight="1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</row>
    <row r="519" ht="15.75" customHeight="1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</row>
    <row r="520" ht="15.75" customHeight="1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</row>
    <row r="521" ht="15.75" customHeight="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</row>
    <row r="522" ht="15.75" customHeight="1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</row>
    <row r="523" ht="15.75" customHeight="1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</row>
    <row r="524" ht="15.75" customHeight="1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</row>
    <row r="525" ht="15.75" customHeight="1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</row>
    <row r="526" ht="15.75" customHeight="1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</row>
    <row r="527" ht="15.75" customHeight="1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</row>
    <row r="528" ht="15.75" customHeight="1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</row>
    <row r="529" ht="15.75" customHeight="1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</row>
    <row r="530" ht="15.75" customHeight="1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</row>
    <row r="531" ht="15.75" customHeight="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</row>
    <row r="532" ht="15.75" customHeight="1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</row>
    <row r="533" ht="15.75" customHeight="1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</row>
    <row r="534" ht="15.75" customHeight="1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</row>
    <row r="535" ht="15.75" customHeight="1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</row>
    <row r="536" ht="15.75" customHeight="1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</row>
    <row r="537" ht="15.75" customHeight="1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</row>
    <row r="538" ht="15.75" customHeight="1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</row>
    <row r="539" ht="15.75" customHeight="1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</row>
    <row r="540" ht="15.75" customHeight="1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</row>
    <row r="541" ht="15.75" customHeight="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</row>
    <row r="542" ht="15.75" customHeight="1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</row>
    <row r="543" ht="15.75" customHeight="1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</row>
    <row r="544" ht="15.75" customHeight="1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</row>
    <row r="545" ht="15.75" customHeight="1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</row>
    <row r="546" ht="15.75" customHeight="1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</row>
    <row r="547" ht="15.75" customHeight="1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</row>
    <row r="548" ht="15.75" customHeight="1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</row>
    <row r="549" ht="15.75" customHeight="1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</row>
    <row r="550" ht="15.75" customHeight="1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</row>
    <row r="551" ht="15.75" customHeight="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</row>
    <row r="552" ht="15.75" customHeight="1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</row>
    <row r="553" ht="15.75" customHeight="1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</row>
    <row r="554" ht="15.75" customHeight="1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</row>
    <row r="555" ht="15.75" customHeight="1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</row>
    <row r="556" ht="15.75" customHeight="1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</row>
    <row r="557" ht="15.75" customHeight="1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</row>
    <row r="558" ht="15.75" customHeight="1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</row>
    <row r="559" ht="15.75" customHeight="1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</row>
    <row r="560" ht="15.75" customHeight="1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</row>
    <row r="561" ht="15.75" customHeight="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</row>
    <row r="562" ht="15.75" customHeight="1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</row>
    <row r="563" ht="15.75" customHeight="1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</row>
    <row r="564" ht="15.75" customHeight="1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</row>
    <row r="565" ht="15.75" customHeight="1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</row>
    <row r="566" ht="15.75" customHeight="1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</row>
    <row r="567" ht="15.75" customHeight="1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</row>
    <row r="568" ht="15.75" customHeight="1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</row>
    <row r="569" ht="15.75" customHeight="1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</row>
    <row r="570" ht="15.75" customHeight="1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</row>
    <row r="571" ht="15.75" customHeight="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</row>
    <row r="572" ht="15.75" customHeight="1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</row>
    <row r="573" ht="15.75" customHeight="1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</row>
    <row r="574" ht="15.75" customHeight="1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</row>
    <row r="575" ht="15.75" customHeight="1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</row>
    <row r="576" ht="15.75" customHeight="1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</row>
    <row r="577" ht="15.75" customHeight="1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</row>
    <row r="578" ht="15.75" customHeight="1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</row>
    <row r="579" ht="15.75" customHeight="1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</row>
    <row r="580" ht="15.75" customHeight="1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</row>
    <row r="581" ht="15.75" customHeight="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</row>
    <row r="582" ht="15.75" customHeight="1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</row>
    <row r="583" ht="15.75" customHeight="1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</row>
    <row r="584" ht="15.75" customHeight="1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</row>
    <row r="585" ht="15.75" customHeight="1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</row>
    <row r="586" ht="15.75" customHeight="1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</row>
    <row r="587" ht="15.75" customHeight="1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</row>
    <row r="588" ht="15.75" customHeight="1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</row>
    <row r="589" ht="15.75" customHeight="1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</row>
    <row r="590" ht="15.75" customHeight="1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</row>
    <row r="591" ht="15.75" customHeight="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</row>
    <row r="592" ht="15.75" customHeight="1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</row>
    <row r="593" ht="15.75" customHeight="1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</row>
    <row r="594" ht="15.75" customHeight="1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</row>
    <row r="595" ht="15.75" customHeight="1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</row>
    <row r="596" ht="15.75" customHeight="1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</row>
    <row r="597" ht="15.75" customHeight="1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</row>
    <row r="598" ht="15.75" customHeight="1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</row>
    <row r="599" ht="15.75" customHeight="1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</row>
    <row r="600" ht="15.75" customHeight="1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</row>
    <row r="601" ht="15.75" customHeight="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</row>
    <row r="602" ht="15.75" customHeight="1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</row>
    <row r="603" ht="15.75" customHeight="1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</row>
    <row r="604" ht="15.75" customHeight="1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</row>
    <row r="605" ht="15.75" customHeight="1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</row>
    <row r="606" ht="15.75" customHeight="1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</row>
    <row r="607" ht="15.75" customHeight="1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</row>
    <row r="608" ht="15.75" customHeight="1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</row>
    <row r="609" ht="15.75" customHeight="1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</row>
    <row r="610" ht="15.75" customHeight="1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</row>
    <row r="611" ht="15.75" customHeight="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</row>
    <row r="612" ht="15.75" customHeight="1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</row>
    <row r="613" ht="15.75" customHeight="1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</row>
    <row r="614" ht="15.75" customHeight="1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</row>
    <row r="615" ht="15.75" customHeight="1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</row>
    <row r="616" ht="15.75" customHeight="1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</row>
    <row r="617" ht="15.75" customHeight="1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</row>
    <row r="618" ht="15.75" customHeight="1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</row>
    <row r="619" ht="15.75" customHeight="1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</row>
    <row r="620" ht="15.75" customHeight="1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</row>
    <row r="621" ht="15.75" customHeight="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</row>
    <row r="622" ht="15.75" customHeight="1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</row>
    <row r="623" ht="15.75" customHeight="1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</row>
    <row r="624" ht="15.75" customHeight="1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</row>
    <row r="625" ht="15.75" customHeight="1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</row>
    <row r="626" ht="15.75" customHeight="1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</row>
    <row r="627" ht="15.75" customHeight="1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</row>
    <row r="628" ht="15.75" customHeight="1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</row>
    <row r="629" ht="15.75" customHeight="1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</row>
    <row r="630" ht="15.75" customHeight="1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</row>
    <row r="631" ht="15.75" customHeight="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</row>
    <row r="632" ht="15.75" customHeight="1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</row>
    <row r="633" ht="15.75" customHeight="1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</row>
    <row r="634" ht="15.75" customHeight="1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</row>
    <row r="635" ht="15.75" customHeight="1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</row>
    <row r="636" ht="15.75" customHeight="1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</row>
    <row r="637" ht="15.75" customHeight="1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</row>
    <row r="638" ht="15.75" customHeight="1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</row>
    <row r="639" ht="15.75" customHeight="1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</row>
    <row r="640" ht="15.75" customHeight="1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</row>
    <row r="641" ht="15.75" customHeight="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</row>
    <row r="642" ht="15.75" customHeight="1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</row>
    <row r="643" ht="15.75" customHeight="1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</row>
    <row r="644" ht="15.75" customHeight="1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</row>
    <row r="645" ht="15.75" customHeight="1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</row>
    <row r="646" ht="15.75" customHeight="1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</row>
    <row r="647" ht="15.75" customHeight="1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</row>
    <row r="648" ht="15.75" customHeight="1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</row>
    <row r="649" ht="15.75" customHeight="1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</row>
    <row r="650" ht="15.75" customHeight="1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</row>
    <row r="651" ht="15.75" customHeight="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</row>
    <row r="652" ht="15.75" customHeight="1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</row>
    <row r="653" ht="15.75" customHeight="1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</row>
    <row r="654" ht="15.75" customHeight="1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</row>
    <row r="655" ht="15.75" customHeight="1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</row>
    <row r="656" ht="15.75" customHeight="1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</row>
    <row r="657" ht="15.75" customHeight="1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</row>
    <row r="658" ht="15.75" customHeight="1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</row>
    <row r="659" ht="15.75" customHeight="1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</row>
    <row r="660" ht="15.75" customHeight="1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</row>
    <row r="661" ht="15.75" customHeight="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</row>
    <row r="662" ht="15.75" customHeight="1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</row>
    <row r="663" ht="15.75" customHeight="1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</row>
    <row r="664" ht="15.75" customHeight="1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</row>
    <row r="665" ht="15.75" customHeight="1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</row>
    <row r="666" ht="15.75" customHeight="1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</row>
    <row r="667" ht="15.75" customHeight="1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</row>
    <row r="668" ht="15.75" customHeight="1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</row>
    <row r="669" ht="15.75" customHeight="1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</row>
    <row r="670" ht="15.75" customHeight="1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</row>
    <row r="671" ht="15.75" customHeight="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</row>
    <row r="672" ht="15.75" customHeight="1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</row>
    <row r="673" ht="15.75" customHeight="1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</row>
    <row r="674" ht="15.75" customHeight="1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</row>
    <row r="675" ht="15.75" customHeight="1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</row>
    <row r="676" ht="15.75" customHeight="1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</row>
    <row r="677" ht="15.75" customHeight="1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</row>
    <row r="678" ht="15.75" customHeight="1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</row>
    <row r="679" ht="15.75" customHeight="1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</row>
    <row r="680" ht="15.75" customHeight="1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</row>
    <row r="681" ht="15.75" customHeight="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</row>
    <row r="682" ht="15.75" customHeight="1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</row>
    <row r="683" ht="15.75" customHeight="1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</row>
    <row r="684" ht="15.75" customHeight="1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</row>
    <row r="685" ht="15.75" customHeight="1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</row>
    <row r="686" ht="15.75" customHeight="1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</row>
    <row r="687" ht="15.75" customHeight="1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</row>
    <row r="688" ht="15.75" customHeight="1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</row>
    <row r="689" ht="15.75" customHeight="1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</row>
    <row r="690" ht="15.75" customHeight="1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</row>
    <row r="691" ht="15.75" customHeight="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</row>
    <row r="692" ht="15.75" customHeight="1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</row>
    <row r="693" ht="15.75" customHeight="1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</row>
    <row r="694" ht="15.75" customHeight="1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</row>
    <row r="695" ht="15.75" customHeight="1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</row>
    <row r="696" ht="15.75" customHeight="1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</row>
    <row r="697" ht="15.75" customHeight="1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</row>
    <row r="698" ht="15.75" customHeight="1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</row>
    <row r="699" ht="15.75" customHeight="1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</row>
    <row r="700" ht="15.75" customHeight="1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</row>
    <row r="701" ht="15.75" customHeight="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</row>
    <row r="702" ht="15.75" customHeight="1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</row>
    <row r="703" ht="15.75" customHeight="1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</row>
    <row r="704" ht="15.75" customHeight="1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</row>
    <row r="705" ht="15.75" customHeight="1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</row>
    <row r="706" ht="15.75" customHeight="1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</row>
    <row r="707" ht="15.75" customHeight="1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</row>
    <row r="708" ht="15.75" customHeight="1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</row>
    <row r="709" ht="15.75" customHeight="1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</row>
    <row r="710" ht="15.75" customHeight="1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</row>
    <row r="711" ht="15.75" customHeight="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</row>
    <row r="712" ht="15.75" customHeight="1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</row>
    <row r="713" ht="15.75" customHeight="1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</row>
    <row r="714" ht="15.75" customHeight="1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</row>
    <row r="715" ht="15.75" customHeight="1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</row>
    <row r="716" ht="15.75" customHeight="1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</row>
    <row r="717" ht="15.75" customHeight="1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</row>
    <row r="718" ht="15.75" customHeight="1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</row>
    <row r="719" ht="15.75" customHeight="1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</row>
    <row r="720" ht="15.75" customHeight="1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</row>
    <row r="721" ht="15.75" customHeight="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</row>
    <row r="722" ht="15.75" customHeight="1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</row>
    <row r="723" ht="15.75" customHeight="1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</row>
    <row r="724" ht="15.75" customHeight="1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</row>
    <row r="725" ht="15.75" customHeight="1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</row>
    <row r="726" ht="15.75" customHeight="1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</row>
    <row r="727" ht="15.75" customHeight="1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</row>
    <row r="728" ht="15.75" customHeight="1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</row>
    <row r="729" ht="15.75" customHeight="1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</row>
    <row r="730" ht="15.75" customHeight="1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</row>
    <row r="731" ht="15.75" customHeight="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</row>
    <row r="732" ht="15.75" customHeight="1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</row>
    <row r="733" ht="15.75" customHeight="1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</row>
    <row r="734" ht="15.75" customHeight="1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</row>
    <row r="735" ht="15.75" customHeight="1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</row>
    <row r="736" ht="15.75" customHeight="1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</row>
    <row r="737" ht="15.75" customHeight="1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</row>
    <row r="738" ht="15.75" customHeight="1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</row>
    <row r="739" ht="15.75" customHeight="1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</row>
    <row r="740" ht="15.75" customHeight="1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</row>
    <row r="741" ht="15.75" customHeight="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</row>
    <row r="742" ht="15.75" customHeight="1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</row>
    <row r="743" ht="15.75" customHeight="1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</row>
    <row r="744" ht="15.75" customHeight="1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</row>
    <row r="745" ht="15.75" customHeight="1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</row>
    <row r="746" ht="15.75" customHeight="1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</row>
    <row r="747" ht="15.75" customHeight="1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</row>
    <row r="748" ht="15.75" customHeight="1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</row>
    <row r="749" ht="15.75" customHeight="1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</row>
    <row r="750" ht="15.75" customHeight="1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</row>
    <row r="751" ht="15.75" customHeight="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</row>
    <row r="752" ht="15.75" customHeight="1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</row>
    <row r="753" ht="15.75" customHeight="1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</row>
    <row r="754" ht="15.75" customHeight="1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</row>
    <row r="755" ht="15.75" customHeight="1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</row>
    <row r="756" ht="15.75" customHeight="1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</row>
    <row r="757" ht="15.75" customHeight="1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</row>
    <row r="758" ht="15.75" customHeight="1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</row>
    <row r="759" ht="15.75" customHeight="1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</row>
    <row r="760" ht="15.75" customHeight="1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</row>
    <row r="761" ht="15.75" customHeight="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</row>
    <row r="762" ht="15.75" customHeight="1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</row>
    <row r="763" ht="15.75" customHeight="1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</row>
    <row r="764" ht="15.75" customHeight="1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</row>
    <row r="765" ht="15.75" customHeight="1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</row>
    <row r="766" ht="15.75" customHeight="1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</row>
    <row r="767" ht="15.75" customHeight="1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</row>
    <row r="768" ht="15.75" customHeight="1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</row>
    <row r="769" ht="15.75" customHeight="1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</row>
    <row r="770" ht="15.75" customHeight="1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</row>
    <row r="771" ht="15.75" customHeight="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</row>
    <row r="772" ht="15.75" customHeight="1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</row>
    <row r="773" ht="15.75" customHeight="1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</row>
    <row r="774" ht="15.75" customHeight="1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</row>
    <row r="775" ht="15.75" customHeight="1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</row>
    <row r="776" ht="15.75" customHeight="1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</row>
    <row r="777" ht="15.75" customHeight="1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</row>
    <row r="778" ht="15.75" customHeight="1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</row>
    <row r="779" ht="15.75" customHeight="1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</row>
    <row r="780" ht="15.75" customHeight="1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</row>
    <row r="781" ht="15.75" customHeight="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</row>
    <row r="782" ht="15.75" customHeight="1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</row>
    <row r="783" ht="15.75" customHeight="1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</row>
    <row r="784" ht="15.75" customHeight="1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</row>
    <row r="785" ht="15.75" customHeight="1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</row>
    <row r="786" ht="15.75" customHeight="1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</row>
    <row r="787" ht="15.75" customHeight="1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</row>
    <row r="788" ht="15.75" customHeight="1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</row>
    <row r="789" ht="15.75" customHeight="1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</row>
    <row r="790" ht="15.75" customHeight="1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</row>
    <row r="791" ht="15.75" customHeight="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</row>
    <row r="792" ht="15.75" customHeight="1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</row>
    <row r="793" ht="15.75" customHeight="1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</row>
    <row r="794" ht="15.75" customHeight="1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</row>
    <row r="795" ht="15.75" customHeight="1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</row>
    <row r="796" ht="15.75" customHeight="1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</row>
    <row r="797" ht="15.75" customHeight="1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</row>
    <row r="798" ht="15.75" customHeight="1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</row>
    <row r="799" ht="15.75" customHeight="1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</row>
    <row r="800" ht="15.75" customHeight="1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</row>
    <row r="801" ht="15.75" customHeight="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</row>
    <row r="802" ht="15.75" customHeight="1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</row>
    <row r="803" ht="15.75" customHeight="1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</row>
    <row r="804" ht="15.75" customHeight="1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</row>
    <row r="805" ht="15.75" customHeight="1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</row>
    <row r="806" ht="15.75" customHeight="1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</row>
    <row r="807" ht="15.75" customHeight="1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</row>
    <row r="808" ht="15.75" customHeight="1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</row>
    <row r="809" ht="15.75" customHeight="1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</row>
    <row r="810" ht="15.75" customHeight="1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</row>
    <row r="811" ht="15.75" customHeight="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</row>
    <row r="812" ht="15.75" customHeight="1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</row>
    <row r="813" ht="15.75" customHeight="1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</row>
    <row r="814" ht="15.75" customHeight="1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</row>
    <row r="815" ht="15.75" customHeight="1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</row>
    <row r="816" ht="15.75" customHeight="1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</row>
    <row r="817" ht="15.75" customHeight="1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</row>
    <row r="818" ht="15.75" customHeight="1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</row>
    <row r="819" ht="15.75" customHeight="1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</row>
    <row r="820" ht="15.75" customHeight="1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</row>
    <row r="821" ht="15.75" customHeight="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</row>
    <row r="822" ht="15.75" customHeight="1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</row>
    <row r="823" ht="15.75" customHeight="1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</row>
    <row r="824" ht="15.75" customHeight="1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</row>
    <row r="825" ht="15.75" customHeight="1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</row>
    <row r="826" ht="15.75" customHeight="1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</row>
    <row r="827" ht="15.75" customHeight="1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</row>
    <row r="828" ht="15.75" customHeight="1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</row>
    <row r="829" ht="15.75" customHeight="1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</row>
    <row r="830" ht="15.75" customHeight="1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</row>
    <row r="831" ht="15.75" customHeight="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</row>
    <row r="832" ht="15.75" customHeight="1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</row>
    <row r="833" ht="15.75" customHeight="1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</row>
    <row r="834" ht="15.75" customHeight="1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</row>
    <row r="835" ht="15.75" customHeight="1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</row>
    <row r="836" ht="15.75" customHeight="1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</row>
    <row r="837" ht="15.75" customHeight="1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</row>
    <row r="838" ht="15.75" customHeight="1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</row>
    <row r="839" ht="15.75" customHeight="1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</row>
    <row r="840" ht="15.75" customHeight="1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</row>
    <row r="841" ht="15.75" customHeight="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</row>
    <row r="842" ht="15.75" customHeight="1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</row>
    <row r="843" ht="15.75" customHeight="1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</row>
    <row r="844" ht="15.75" customHeight="1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</row>
    <row r="845" ht="15.75" customHeight="1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</row>
    <row r="846" ht="15.75" customHeight="1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</row>
    <row r="847" ht="15.75" customHeight="1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</row>
    <row r="848" ht="15.75" customHeight="1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</row>
    <row r="849" ht="15.75" customHeight="1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</row>
    <row r="850" ht="15.75" customHeight="1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</row>
    <row r="851" ht="15.75" customHeight="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</row>
    <row r="852" ht="15.75" customHeight="1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</row>
    <row r="853" ht="15.75" customHeight="1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</row>
    <row r="854" ht="15.75" customHeight="1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</row>
    <row r="855" ht="15.75" customHeight="1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</row>
    <row r="856" ht="15.75" customHeight="1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</row>
    <row r="857" ht="15.75" customHeight="1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</row>
    <row r="858" ht="15.75" customHeight="1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</row>
    <row r="859" ht="15.75" customHeight="1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</row>
    <row r="860" ht="15.75" customHeight="1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</row>
    <row r="861" ht="15.75" customHeight="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</row>
    <row r="862" ht="15.75" customHeight="1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</row>
    <row r="863" ht="15.75" customHeight="1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</row>
    <row r="864" ht="15.75" customHeight="1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</row>
    <row r="865" ht="15.75" customHeight="1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</row>
    <row r="866" ht="15.75" customHeight="1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</row>
    <row r="867" ht="15.75" customHeight="1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</row>
    <row r="868" ht="15.75" customHeight="1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</row>
    <row r="869" ht="15.75" customHeight="1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</row>
    <row r="870" ht="15.75" customHeight="1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</row>
    <row r="871" ht="15.75" customHeight="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</row>
    <row r="872" ht="15.75" customHeight="1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</row>
    <row r="873" ht="15.75" customHeight="1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</row>
    <row r="874" ht="15.75" customHeight="1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</row>
    <row r="875" ht="15.75" customHeight="1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</row>
    <row r="876" ht="15.75" customHeight="1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</row>
    <row r="877" ht="15.75" customHeight="1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</row>
    <row r="878" ht="15.75" customHeight="1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</row>
    <row r="879" ht="15.75" customHeight="1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</row>
    <row r="880" ht="15.75" customHeight="1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</row>
    <row r="881" ht="15.75" customHeight="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</row>
    <row r="882" ht="15.75" customHeight="1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</row>
    <row r="883" ht="15.75" customHeight="1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</row>
    <row r="884" ht="15.75" customHeight="1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</row>
    <row r="885" ht="15.75" customHeight="1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</row>
    <row r="886" ht="15.75" customHeight="1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</row>
    <row r="887" ht="15.75" customHeight="1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</row>
    <row r="888" ht="15.75" customHeight="1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</row>
    <row r="889" ht="15.75" customHeight="1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</row>
    <row r="890" ht="15.75" customHeight="1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</row>
    <row r="891" ht="15.75" customHeight="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</row>
    <row r="892" ht="15.75" customHeight="1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</row>
    <row r="893" ht="15.75" customHeight="1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</row>
    <row r="894" ht="15.75" customHeight="1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</row>
    <row r="895" ht="15.75" customHeight="1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</row>
    <row r="896" ht="15.75" customHeight="1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</row>
    <row r="897" ht="15.75" customHeight="1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</row>
    <row r="898" ht="15.75" customHeight="1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</row>
    <row r="899" ht="15.75" customHeight="1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</row>
    <row r="900" ht="15.75" customHeight="1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</row>
    <row r="901" ht="15.75" customHeight="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</row>
    <row r="902" ht="15.75" customHeight="1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</row>
    <row r="903" ht="15.75" customHeight="1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</row>
    <row r="904" ht="15.75" customHeight="1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</row>
    <row r="905" ht="15.75" customHeight="1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</row>
    <row r="906" ht="15.75" customHeight="1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</row>
    <row r="907" ht="15.75" customHeight="1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</row>
    <row r="908" ht="15.75" customHeight="1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</row>
    <row r="909" ht="15.75" customHeight="1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</row>
    <row r="910" ht="15.75" customHeight="1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</row>
    <row r="911" ht="15.75" customHeight="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</row>
    <row r="912" ht="15.75" customHeight="1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</row>
    <row r="913" ht="15.75" customHeight="1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</row>
    <row r="914" ht="15.75" customHeight="1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</row>
    <row r="915" ht="15.75" customHeight="1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</row>
    <row r="916" ht="15.75" customHeight="1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</row>
    <row r="917" ht="15.75" customHeight="1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</row>
    <row r="918" ht="15.75" customHeight="1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</row>
    <row r="919" ht="15.75" customHeight="1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</row>
    <row r="920" ht="15.75" customHeight="1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</row>
    <row r="921" ht="15.75" customHeight="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</row>
    <row r="922" ht="15.75" customHeight="1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</row>
    <row r="923" ht="15.75" customHeight="1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</row>
    <row r="924" ht="15.75" customHeight="1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</row>
    <row r="925" ht="15.75" customHeight="1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</row>
    <row r="926" ht="15.75" customHeight="1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</row>
    <row r="927" ht="15.75" customHeight="1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</row>
    <row r="928" ht="15.75" customHeight="1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</row>
    <row r="929" ht="15.75" customHeight="1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</row>
    <row r="930" ht="15.75" customHeight="1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</row>
    <row r="931" ht="15.75" customHeight="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</row>
    <row r="932" ht="15.75" customHeight="1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</row>
    <row r="933" ht="15.75" customHeight="1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</row>
    <row r="934" ht="15.75" customHeight="1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</row>
    <row r="935" ht="15.75" customHeight="1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</row>
    <row r="936" ht="15.75" customHeight="1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</row>
    <row r="937" ht="15.75" customHeight="1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</row>
    <row r="938" ht="15.75" customHeight="1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</row>
    <row r="939" ht="15.75" customHeight="1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</row>
    <row r="940" ht="15.75" customHeight="1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</row>
    <row r="941" ht="15.75" customHeight="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</row>
    <row r="942" ht="15.75" customHeight="1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</row>
    <row r="943" ht="15.75" customHeight="1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</row>
    <row r="944" ht="15.75" customHeight="1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</row>
    <row r="945" ht="15.75" customHeight="1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</row>
    <row r="946" ht="15.75" customHeight="1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</row>
    <row r="947" ht="15.75" customHeight="1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</row>
    <row r="948" ht="15.75" customHeight="1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</row>
    <row r="949" ht="15.75" customHeight="1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</row>
    <row r="950" ht="15.75" customHeight="1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</row>
    <row r="951" ht="15.75" customHeight="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</row>
    <row r="952" ht="15.75" customHeight="1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</row>
    <row r="953" ht="15.75" customHeight="1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</row>
    <row r="954" ht="15.75" customHeight="1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8.43"/>
    <col customWidth="1" min="3" max="3" width="33.0"/>
    <col customWidth="1" min="4" max="4" width="28.86"/>
    <col customWidth="1" min="5" max="5" width="17.29"/>
    <col customWidth="1" min="6" max="6" width="13.14"/>
    <col customWidth="1" min="7" max="7" width="24.14"/>
    <col customWidth="1" min="8" max="8" width="9.71"/>
    <col customWidth="1" min="9" max="9" width="18.57"/>
    <col customWidth="1" min="10" max="10" width="17.29"/>
  </cols>
  <sheetData>
    <row r="1" ht="12.75" customHeight="1">
      <c r="A1" s="25" t="s">
        <v>103</v>
      </c>
      <c r="B1" s="25" t="s">
        <v>160</v>
      </c>
      <c r="C1" s="24" t="s">
        <v>104</v>
      </c>
      <c r="D1" s="25" t="s">
        <v>105</v>
      </c>
      <c r="E1" s="13" t="s">
        <v>50</v>
      </c>
      <c r="F1" s="39" t="s">
        <v>1</v>
      </c>
      <c r="G1" s="39" t="s">
        <v>163</v>
      </c>
      <c r="H1" s="27" t="s">
        <v>107</v>
      </c>
      <c r="I1" s="25" t="s">
        <v>164</v>
      </c>
      <c r="J1" s="25" t="s">
        <v>165</v>
      </c>
      <c r="K1" s="44">
        <v>46023.0</v>
      </c>
      <c r="L1" s="44">
        <v>46054.0</v>
      </c>
      <c r="M1" s="44">
        <v>46082.0</v>
      </c>
      <c r="N1" s="44">
        <v>46113.0</v>
      </c>
      <c r="O1" s="44">
        <v>46143.0</v>
      </c>
      <c r="P1" s="44">
        <v>46174.0</v>
      </c>
      <c r="Q1" s="44">
        <v>46204.0</v>
      </c>
      <c r="R1" s="44">
        <v>46235.0</v>
      </c>
      <c r="S1" s="44">
        <v>46266.0</v>
      </c>
      <c r="T1" s="44">
        <v>46296.0</v>
      </c>
      <c r="U1" s="44">
        <v>46327.0</v>
      </c>
      <c r="V1" s="44">
        <v>46357.0</v>
      </c>
      <c r="W1" s="43"/>
      <c r="X1" s="43"/>
    </row>
    <row r="2" ht="12.75" customHeight="1">
      <c r="A2" s="39" t="s">
        <v>122</v>
      </c>
      <c r="B2" s="40" t="s">
        <v>166</v>
      </c>
      <c r="C2" s="39" t="s">
        <v>167</v>
      </c>
      <c r="D2" s="39" t="s">
        <v>114</v>
      </c>
      <c r="E2" s="39" t="s">
        <v>28</v>
      </c>
      <c r="F2" s="39" t="s">
        <v>14</v>
      </c>
      <c r="G2" s="39" t="s">
        <v>91</v>
      </c>
      <c r="H2" s="40">
        <v>283.32</v>
      </c>
      <c r="I2" s="40">
        <f t="shared" ref="I2:I20" si="1">H2*176</f>
        <v>49864.32</v>
      </c>
      <c r="J2" s="40">
        <f t="shared" ref="J2:J20" si="2">I2*11</f>
        <v>548507.52</v>
      </c>
      <c r="K2" s="25">
        <v>0.0</v>
      </c>
      <c r="L2" s="25">
        <v>0.0</v>
      </c>
      <c r="M2" s="25">
        <v>0.0</v>
      </c>
      <c r="N2" s="25">
        <v>0.0</v>
      </c>
      <c r="O2" s="25">
        <v>0.0</v>
      </c>
      <c r="P2" s="25">
        <v>0.0</v>
      </c>
      <c r="Q2" s="25">
        <v>0.0</v>
      </c>
      <c r="R2" s="25">
        <v>0.0</v>
      </c>
      <c r="S2" s="25">
        <v>0.0</v>
      </c>
      <c r="T2" s="25">
        <v>0.0</v>
      </c>
      <c r="U2" s="25">
        <v>0.0</v>
      </c>
      <c r="V2" s="25">
        <v>0.0</v>
      </c>
      <c r="W2" s="43"/>
      <c r="X2" s="43"/>
    </row>
    <row r="3" ht="12.75" customHeight="1">
      <c r="A3" s="39" t="s">
        <v>129</v>
      </c>
      <c r="B3" s="40" t="s">
        <v>166</v>
      </c>
      <c r="C3" s="39" t="s">
        <v>170</v>
      </c>
      <c r="D3" s="39" t="s">
        <v>111</v>
      </c>
      <c r="E3" s="39" t="s">
        <v>28</v>
      </c>
      <c r="F3" s="39" t="s">
        <v>14</v>
      </c>
      <c r="G3" s="39" t="s">
        <v>91</v>
      </c>
      <c r="H3" s="40">
        <v>257.64</v>
      </c>
      <c r="I3" s="40">
        <f t="shared" si="1"/>
        <v>45344.64</v>
      </c>
      <c r="J3" s="40">
        <f t="shared" si="2"/>
        <v>498791.04</v>
      </c>
      <c r="K3" s="25">
        <v>0.0</v>
      </c>
      <c r="L3" s="25">
        <v>0.0</v>
      </c>
      <c r="M3" s="25">
        <v>0.0</v>
      </c>
      <c r="N3" s="25">
        <v>0.0</v>
      </c>
      <c r="O3" s="25">
        <v>0.0</v>
      </c>
      <c r="P3" s="25">
        <v>0.0</v>
      </c>
      <c r="Q3" s="25">
        <v>0.0</v>
      </c>
      <c r="R3" s="25">
        <v>0.0</v>
      </c>
      <c r="S3" s="25">
        <v>0.0</v>
      </c>
      <c r="T3" s="25">
        <v>0.0</v>
      </c>
      <c r="U3" s="25">
        <v>0.0</v>
      </c>
      <c r="V3" s="25">
        <v>0.0</v>
      </c>
      <c r="W3" s="43"/>
      <c r="X3" s="43"/>
    </row>
    <row r="4" ht="12.75" customHeight="1">
      <c r="A4" s="39" t="s">
        <v>35</v>
      </c>
      <c r="B4" s="40" t="s">
        <v>173</v>
      </c>
      <c r="C4" s="39" t="s">
        <v>36</v>
      </c>
      <c r="D4" s="39" t="s">
        <v>153</v>
      </c>
      <c r="E4" s="39" t="s">
        <v>28</v>
      </c>
      <c r="F4" s="39" t="s">
        <v>14</v>
      </c>
      <c r="G4" s="39" t="s">
        <v>91</v>
      </c>
      <c r="H4" s="40">
        <v>193.74</v>
      </c>
      <c r="I4" s="40">
        <f t="shared" si="1"/>
        <v>34098.24</v>
      </c>
      <c r="J4" s="40">
        <f t="shared" si="2"/>
        <v>375080.64</v>
      </c>
      <c r="K4" s="25">
        <v>1.0</v>
      </c>
      <c r="L4" s="25">
        <v>1.0</v>
      </c>
      <c r="M4" s="25">
        <v>1.0</v>
      </c>
      <c r="N4" s="25">
        <v>0.5</v>
      </c>
      <c r="O4" s="25">
        <v>0.0</v>
      </c>
      <c r="P4" s="25">
        <v>0.0</v>
      </c>
      <c r="Q4" s="25">
        <v>0.0</v>
      </c>
      <c r="R4" s="25">
        <v>0.0</v>
      </c>
      <c r="S4" s="25">
        <v>0.0</v>
      </c>
      <c r="T4" s="25">
        <v>0.0</v>
      </c>
      <c r="U4" s="25">
        <v>0.0</v>
      </c>
      <c r="V4" s="25">
        <v>0.0</v>
      </c>
      <c r="W4" s="43"/>
      <c r="X4" s="43"/>
    </row>
    <row r="5" ht="12.75" customHeight="1">
      <c r="A5" s="39" t="s">
        <v>148</v>
      </c>
      <c r="B5" s="40" t="s">
        <v>166</v>
      </c>
      <c r="C5" s="39" t="s">
        <v>149</v>
      </c>
      <c r="D5" s="39" t="s">
        <v>150</v>
      </c>
      <c r="E5" s="39" t="s">
        <v>61</v>
      </c>
      <c r="F5" s="39" t="s">
        <v>14</v>
      </c>
      <c r="G5" s="39" t="s">
        <v>91</v>
      </c>
      <c r="H5" s="40">
        <v>192.88</v>
      </c>
      <c r="I5" s="40">
        <f t="shared" si="1"/>
        <v>33946.88</v>
      </c>
      <c r="J5" s="40">
        <f t="shared" si="2"/>
        <v>373415.68</v>
      </c>
      <c r="K5" s="25">
        <v>0.0</v>
      </c>
      <c r="L5" s="25">
        <v>0.0</v>
      </c>
      <c r="M5" s="25">
        <v>0.0</v>
      </c>
      <c r="N5" s="25">
        <v>0.0</v>
      </c>
      <c r="O5" s="25">
        <v>0.0</v>
      </c>
      <c r="P5" s="25">
        <v>0.0</v>
      </c>
      <c r="Q5" s="25">
        <v>0.0</v>
      </c>
      <c r="R5" s="25">
        <v>0.0</v>
      </c>
      <c r="S5" s="25">
        <v>0.0</v>
      </c>
      <c r="T5" s="25">
        <v>0.0</v>
      </c>
      <c r="U5" s="25">
        <v>0.0</v>
      </c>
      <c r="V5" s="25">
        <v>0.0</v>
      </c>
      <c r="W5" s="43"/>
      <c r="X5" s="43"/>
    </row>
    <row r="6" ht="12.75" customHeight="1">
      <c r="A6" s="39" t="s">
        <v>20</v>
      </c>
      <c r="B6" s="40" t="s">
        <v>173</v>
      </c>
      <c r="C6" s="39" t="s">
        <v>21</v>
      </c>
      <c r="D6" s="39" t="s">
        <v>111</v>
      </c>
      <c r="E6" s="39" t="s">
        <v>19</v>
      </c>
      <c r="F6" s="39" t="s">
        <v>14</v>
      </c>
      <c r="G6" s="39" t="s">
        <v>91</v>
      </c>
      <c r="H6" s="40">
        <v>228.58</v>
      </c>
      <c r="I6" s="40">
        <f t="shared" si="1"/>
        <v>40230.08</v>
      </c>
      <c r="J6" s="40">
        <f t="shared" si="2"/>
        <v>442530.88</v>
      </c>
      <c r="K6" s="25">
        <v>1.0</v>
      </c>
      <c r="L6" s="25">
        <v>1.0</v>
      </c>
      <c r="M6" s="25">
        <v>1.0</v>
      </c>
      <c r="N6" s="25">
        <v>1.0</v>
      </c>
      <c r="O6" s="25">
        <v>1.0</v>
      </c>
      <c r="P6" s="25">
        <v>1.0</v>
      </c>
      <c r="Q6" s="25">
        <v>1.0</v>
      </c>
      <c r="R6" s="25">
        <v>1.0</v>
      </c>
      <c r="S6" s="25">
        <v>1.0</v>
      </c>
      <c r="T6" s="25">
        <v>1.0</v>
      </c>
      <c r="U6" s="25">
        <v>1.0</v>
      </c>
      <c r="V6" s="25">
        <v>1.0</v>
      </c>
      <c r="W6" s="43"/>
      <c r="X6" s="43"/>
    </row>
    <row r="7" ht="12.75" customHeight="1">
      <c r="A7" s="39" t="s">
        <v>22</v>
      </c>
      <c r="B7" s="40" t="s">
        <v>173</v>
      </c>
      <c r="C7" s="39" t="s">
        <v>23</v>
      </c>
      <c r="D7" s="39" t="s">
        <v>119</v>
      </c>
      <c r="E7" s="39" t="s">
        <v>19</v>
      </c>
      <c r="F7" s="39" t="s">
        <v>14</v>
      </c>
      <c r="G7" s="39" t="s">
        <v>91</v>
      </c>
      <c r="H7" s="40">
        <v>213.87</v>
      </c>
      <c r="I7" s="40">
        <f t="shared" si="1"/>
        <v>37641.12</v>
      </c>
      <c r="J7" s="40">
        <f t="shared" si="2"/>
        <v>414052.32</v>
      </c>
      <c r="K7" s="25">
        <v>1.0</v>
      </c>
      <c r="L7" s="25">
        <v>1.0</v>
      </c>
      <c r="M7" s="25">
        <v>1.0</v>
      </c>
      <c r="N7" s="25">
        <v>0.5</v>
      </c>
      <c r="O7" s="25">
        <v>0.0</v>
      </c>
      <c r="P7" s="25">
        <v>0.0</v>
      </c>
      <c r="Q7" s="25">
        <v>0.0</v>
      </c>
      <c r="R7" s="25">
        <v>0.0</v>
      </c>
      <c r="S7" s="25">
        <v>0.0</v>
      </c>
      <c r="T7" s="25">
        <v>0.0</v>
      </c>
      <c r="U7" s="25">
        <v>0.0</v>
      </c>
      <c r="V7" s="25">
        <v>0.0</v>
      </c>
      <c r="W7" s="43"/>
      <c r="X7" s="43"/>
    </row>
    <row r="8" ht="12.75" customHeight="1">
      <c r="A8" s="39" t="s">
        <v>24</v>
      </c>
      <c r="B8" s="40" t="s">
        <v>173</v>
      </c>
      <c r="C8" s="39" t="s">
        <v>25</v>
      </c>
      <c r="D8" s="39" t="s">
        <v>111</v>
      </c>
      <c r="E8" s="39" t="s">
        <v>19</v>
      </c>
      <c r="F8" s="39" t="s">
        <v>14</v>
      </c>
      <c r="G8" s="39" t="s">
        <v>91</v>
      </c>
      <c r="H8" s="40">
        <v>213.87</v>
      </c>
      <c r="I8" s="40">
        <f t="shared" si="1"/>
        <v>37641.12</v>
      </c>
      <c r="J8" s="40">
        <f t="shared" si="2"/>
        <v>414052.32</v>
      </c>
      <c r="K8" s="25">
        <v>1.0</v>
      </c>
      <c r="L8" s="25">
        <v>1.0</v>
      </c>
      <c r="M8" s="25">
        <v>1.0</v>
      </c>
      <c r="N8" s="25">
        <v>1.0</v>
      </c>
      <c r="O8" s="25">
        <v>1.0</v>
      </c>
      <c r="P8" s="25">
        <v>1.0</v>
      </c>
      <c r="Q8" s="25">
        <v>1.0</v>
      </c>
      <c r="R8" s="25">
        <v>1.0</v>
      </c>
      <c r="S8" s="25">
        <v>1.0</v>
      </c>
      <c r="T8" s="25">
        <v>1.0</v>
      </c>
      <c r="U8" s="25">
        <v>1.0</v>
      </c>
      <c r="V8" s="25">
        <v>1.0</v>
      </c>
      <c r="W8" s="43"/>
      <c r="X8" s="43"/>
    </row>
    <row r="9" ht="12.75" customHeight="1">
      <c r="A9" s="39" t="s">
        <v>141</v>
      </c>
      <c r="B9" s="40" t="s">
        <v>166</v>
      </c>
      <c r="C9" s="39" t="s">
        <v>142</v>
      </c>
      <c r="D9" s="39" t="s">
        <v>143</v>
      </c>
      <c r="E9" s="39" t="s">
        <v>19</v>
      </c>
      <c r="F9" s="39" t="s">
        <v>14</v>
      </c>
      <c r="G9" s="39" t="s">
        <v>91</v>
      </c>
      <c r="H9" s="40">
        <v>201.4</v>
      </c>
      <c r="I9" s="40">
        <f t="shared" si="1"/>
        <v>35446.4</v>
      </c>
      <c r="J9" s="40">
        <f t="shared" si="2"/>
        <v>389910.4</v>
      </c>
      <c r="K9" s="25">
        <v>0.0</v>
      </c>
      <c r="L9" s="25">
        <v>0.0</v>
      </c>
      <c r="M9" s="25">
        <v>0.0</v>
      </c>
      <c r="N9" s="25">
        <v>0.0</v>
      </c>
      <c r="O9" s="25">
        <v>0.0</v>
      </c>
      <c r="P9" s="25">
        <v>0.0</v>
      </c>
      <c r="Q9" s="25">
        <v>0.0</v>
      </c>
      <c r="R9" s="25">
        <v>0.0</v>
      </c>
      <c r="S9" s="25">
        <v>0.0</v>
      </c>
      <c r="T9" s="25">
        <v>0.0</v>
      </c>
      <c r="U9" s="25">
        <v>0.0</v>
      </c>
      <c r="V9" s="25">
        <v>0.0</v>
      </c>
      <c r="W9" s="43"/>
      <c r="X9" s="43"/>
    </row>
    <row r="10" ht="12.75" customHeight="1">
      <c r="A10" s="39" t="s">
        <v>29</v>
      </c>
      <c r="B10" s="40" t="s">
        <v>173</v>
      </c>
      <c r="C10" s="39" t="s">
        <v>30</v>
      </c>
      <c r="D10" s="39" t="s">
        <v>144</v>
      </c>
      <c r="E10" s="39" t="s">
        <v>28</v>
      </c>
      <c r="F10" s="39" t="s">
        <v>14</v>
      </c>
      <c r="G10" s="39" t="s">
        <v>91</v>
      </c>
      <c r="H10" s="40">
        <v>299.76</v>
      </c>
      <c r="I10" s="40">
        <f t="shared" si="1"/>
        <v>52757.76</v>
      </c>
      <c r="J10" s="40">
        <f t="shared" si="2"/>
        <v>580335.36</v>
      </c>
      <c r="K10" s="25">
        <v>1.0</v>
      </c>
      <c r="L10" s="25">
        <v>1.0</v>
      </c>
      <c r="M10" s="25">
        <v>1.0</v>
      </c>
      <c r="N10" s="25">
        <v>0.5</v>
      </c>
      <c r="O10" s="25">
        <v>0.0</v>
      </c>
      <c r="P10" s="25">
        <v>0.0</v>
      </c>
      <c r="Q10" s="25">
        <v>0.0</v>
      </c>
      <c r="R10" s="25">
        <v>0.0</v>
      </c>
      <c r="S10" s="25">
        <v>0.0</v>
      </c>
      <c r="T10" s="25">
        <v>0.0</v>
      </c>
      <c r="U10" s="25">
        <v>0.0</v>
      </c>
      <c r="V10" s="25">
        <v>0.0</v>
      </c>
      <c r="W10" s="43"/>
      <c r="X10" s="43"/>
    </row>
    <row r="11" ht="12.75" customHeight="1">
      <c r="A11" s="39" t="s">
        <v>127</v>
      </c>
      <c r="B11" s="40" t="s">
        <v>166</v>
      </c>
      <c r="C11" s="39" t="s">
        <v>188</v>
      </c>
      <c r="D11" s="39" t="s">
        <v>111</v>
      </c>
      <c r="E11" s="39" t="s">
        <v>28</v>
      </c>
      <c r="F11" s="39" t="s">
        <v>7</v>
      </c>
      <c r="G11" s="39" t="s">
        <v>191</v>
      </c>
      <c r="H11" s="40">
        <v>257.64</v>
      </c>
      <c r="I11" s="40">
        <f t="shared" si="1"/>
        <v>45344.64</v>
      </c>
      <c r="J11" s="40">
        <f t="shared" si="2"/>
        <v>498791.04</v>
      </c>
      <c r="K11" s="25">
        <v>0.0</v>
      </c>
      <c r="L11" s="25">
        <v>0.0</v>
      </c>
      <c r="M11" s="25">
        <v>0.0</v>
      </c>
      <c r="N11" s="25">
        <v>0.0</v>
      </c>
      <c r="O11" s="25">
        <v>0.0</v>
      </c>
      <c r="P11" s="25">
        <v>0.0</v>
      </c>
      <c r="Q11" s="25">
        <v>0.0</v>
      </c>
      <c r="R11" s="25">
        <v>0.0</v>
      </c>
      <c r="S11" s="25">
        <v>0.0</v>
      </c>
      <c r="T11" s="25">
        <v>0.0</v>
      </c>
      <c r="U11" s="25">
        <v>0.0</v>
      </c>
      <c r="V11" s="25">
        <v>0.0</v>
      </c>
      <c r="W11" s="43"/>
      <c r="X11" s="43"/>
    </row>
    <row r="12" ht="12.75" customHeight="1">
      <c r="A12" s="39" t="s">
        <v>31</v>
      </c>
      <c r="B12" s="40" t="s">
        <v>173</v>
      </c>
      <c r="C12" s="39" t="s">
        <v>32</v>
      </c>
      <c r="D12" s="39" t="s">
        <v>114</v>
      </c>
      <c r="E12" s="39" t="s">
        <v>28</v>
      </c>
      <c r="F12" s="39" t="s">
        <v>14</v>
      </c>
      <c r="G12" s="39" t="s">
        <v>91</v>
      </c>
      <c r="H12" s="40">
        <v>289.35</v>
      </c>
      <c r="I12" s="40">
        <f t="shared" si="1"/>
        <v>50925.6</v>
      </c>
      <c r="J12" s="40">
        <f t="shared" si="2"/>
        <v>560181.6</v>
      </c>
      <c r="K12" s="25">
        <v>1.0</v>
      </c>
      <c r="L12" s="25">
        <v>1.0</v>
      </c>
      <c r="M12" s="25">
        <v>1.0</v>
      </c>
      <c r="N12" s="25">
        <v>0.5</v>
      </c>
      <c r="O12" s="25">
        <v>0.0</v>
      </c>
      <c r="P12" s="25">
        <v>0.0</v>
      </c>
      <c r="Q12" s="25">
        <v>0.0</v>
      </c>
      <c r="R12" s="25">
        <v>0.0</v>
      </c>
      <c r="S12" s="25">
        <v>0.0</v>
      </c>
      <c r="T12" s="25">
        <v>0.0</v>
      </c>
      <c r="U12" s="25">
        <v>0.0</v>
      </c>
      <c r="V12" s="25">
        <v>0.0</v>
      </c>
      <c r="W12" s="43"/>
      <c r="X12" s="43"/>
    </row>
    <row r="13" ht="12.75" customHeight="1">
      <c r="A13" s="39" t="s">
        <v>33</v>
      </c>
      <c r="B13" s="40" t="s">
        <v>173</v>
      </c>
      <c r="C13" s="39" t="s">
        <v>34</v>
      </c>
      <c r="D13" s="39" t="s">
        <v>111</v>
      </c>
      <c r="E13" s="39" t="s">
        <v>28</v>
      </c>
      <c r="F13" s="39" t="s">
        <v>14</v>
      </c>
      <c r="G13" s="39" t="s">
        <v>91</v>
      </c>
      <c r="H13" s="40">
        <v>202.62</v>
      </c>
      <c r="I13" s="40">
        <f t="shared" si="1"/>
        <v>35661.12</v>
      </c>
      <c r="J13" s="40">
        <f t="shared" si="2"/>
        <v>392272.32</v>
      </c>
      <c r="K13" s="25">
        <v>1.0</v>
      </c>
      <c r="L13" s="25">
        <v>1.0</v>
      </c>
      <c r="M13" s="25">
        <v>1.0</v>
      </c>
      <c r="N13" s="25">
        <v>0.5</v>
      </c>
      <c r="O13" s="25">
        <v>0.0</v>
      </c>
      <c r="P13" s="25">
        <v>0.0</v>
      </c>
      <c r="Q13" s="25">
        <v>0.0</v>
      </c>
      <c r="R13" s="25">
        <v>0.0</v>
      </c>
      <c r="S13" s="25">
        <v>0.0</v>
      </c>
      <c r="T13" s="25">
        <v>0.0</v>
      </c>
      <c r="U13" s="25">
        <v>0.0</v>
      </c>
      <c r="V13" s="25">
        <v>0.0</v>
      </c>
      <c r="W13" s="43"/>
      <c r="X13" s="43"/>
    </row>
    <row r="14" ht="12.75" customHeight="1">
      <c r="A14" s="39" t="s">
        <v>134</v>
      </c>
      <c r="B14" s="40" t="s">
        <v>166</v>
      </c>
      <c r="C14" s="39" t="s">
        <v>196</v>
      </c>
      <c r="D14" s="39" t="s">
        <v>111</v>
      </c>
      <c r="E14" s="39" t="s">
        <v>28</v>
      </c>
      <c r="F14" s="39" t="s">
        <v>7</v>
      </c>
      <c r="G14" s="39" t="s">
        <v>191</v>
      </c>
      <c r="H14" s="40">
        <v>202.62</v>
      </c>
      <c r="I14" s="40">
        <f t="shared" si="1"/>
        <v>35661.12</v>
      </c>
      <c r="J14" s="40">
        <f t="shared" si="2"/>
        <v>392272.32</v>
      </c>
      <c r="K14" s="25">
        <v>0.0</v>
      </c>
      <c r="L14" s="25">
        <v>0.0</v>
      </c>
      <c r="M14" s="25">
        <v>0.0</v>
      </c>
      <c r="N14" s="25">
        <v>0.0</v>
      </c>
      <c r="O14" s="25">
        <v>0.0</v>
      </c>
      <c r="P14" s="25">
        <v>0.0</v>
      </c>
      <c r="Q14" s="25">
        <v>0.0</v>
      </c>
      <c r="R14" s="25">
        <v>0.0</v>
      </c>
      <c r="S14" s="25">
        <v>0.0</v>
      </c>
      <c r="T14" s="25">
        <v>0.0</v>
      </c>
      <c r="U14" s="25">
        <v>0.0</v>
      </c>
      <c r="V14" s="25">
        <v>0.0</v>
      </c>
      <c r="W14" s="43"/>
      <c r="X14" s="43"/>
    </row>
    <row r="15" ht="12.75" customHeight="1">
      <c r="A15" s="39" t="s">
        <v>145</v>
      </c>
      <c r="B15" s="40" t="s">
        <v>166</v>
      </c>
      <c r="C15" s="39" t="s">
        <v>146</v>
      </c>
      <c r="D15" s="39" t="s">
        <v>147</v>
      </c>
      <c r="E15" s="39" t="s">
        <v>28</v>
      </c>
      <c r="F15" s="39" t="s">
        <v>7</v>
      </c>
      <c r="G15" s="39" t="s">
        <v>191</v>
      </c>
      <c r="H15" s="40">
        <v>222.09</v>
      </c>
      <c r="I15" s="40">
        <f t="shared" si="1"/>
        <v>39087.84</v>
      </c>
      <c r="J15" s="40">
        <f t="shared" si="2"/>
        <v>429966.24</v>
      </c>
      <c r="K15" s="25">
        <v>0.0</v>
      </c>
      <c r="L15" s="25">
        <v>0.0</v>
      </c>
      <c r="M15" s="25">
        <v>0.0</v>
      </c>
      <c r="N15" s="25">
        <v>0.0</v>
      </c>
      <c r="O15" s="25">
        <v>0.0</v>
      </c>
      <c r="P15" s="25">
        <v>0.0</v>
      </c>
      <c r="Q15" s="25">
        <v>0.0</v>
      </c>
      <c r="R15" s="25">
        <v>0.0</v>
      </c>
      <c r="S15" s="25">
        <v>0.0</v>
      </c>
      <c r="T15" s="25">
        <v>0.0</v>
      </c>
      <c r="U15" s="25">
        <v>0.0</v>
      </c>
      <c r="V15" s="25">
        <v>0.0</v>
      </c>
      <c r="W15" s="43"/>
      <c r="X15" s="43"/>
    </row>
    <row r="16" ht="12.75" customHeight="1">
      <c r="A16" s="39" t="s">
        <v>154</v>
      </c>
      <c r="B16" s="40" t="s">
        <v>166</v>
      </c>
      <c r="C16" s="39" t="s">
        <v>155</v>
      </c>
      <c r="D16" s="39" t="s">
        <v>156</v>
      </c>
      <c r="E16" s="39" t="s">
        <v>202</v>
      </c>
      <c r="F16" s="39" t="s">
        <v>7</v>
      </c>
      <c r="G16" s="39" t="s">
        <v>191</v>
      </c>
      <c r="H16" s="40">
        <v>184.6</v>
      </c>
      <c r="I16" s="40">
        <f t="shared" si="1"/>
        <v>32489.6</v>
      </c>
      <c r="J16" s="40">
        <f t="shared" si="2"/>
        <v>357385.6</v>
      </c>
      <c r="K16" s="25">
        <v>0.0</v>
      </c>
      <c r="L16" s="25">
        <v>0.0</v>
      </c>
      <c r="M16" s="25">
        <v>0.0</v>
      </c>
      <c r="N16" s="25">
        <v>0.0</v>
      </c>
      <c r="O16" s="25">
        <v>0.0</v>
      </c>
      <c r="P16" s="25">
        <v>0.0</v>
      </c>
      <c r="Q16" s="25">
        <v>0.0</v>
      </c>
      <c r="R16" s="25">
        <v>0.0</v>
      </c>
      <c r="S16" s="25">
        <v>0.0</v>
      </c>
      <c r="T16" s="25">
        <v>0.0</v>
      </c>
      <c r="U16" s="25">
        <v>0.0</v>
      </c>
      <c r="V16" s="25">
        <v>0.0</v>
      </c>
      <c r="W16" s="43"/>
      <c r="X16" s="43"/>
    </row>
    <row r="17" ht="12.75" customHeight="1">
      <c r="A17" s="39" t="s">
        <v>26</v>
      </c>
      <c r="B17" s="40" t="s">
        <v>173</v>
      </c>
      <c r="C17" s="39" t="s">
        <v>27</v>
      </c>
      <c r="D17" s="39" t="s">
        <v>111</v>
      </c>
      <c r="E17" s="39" t="s">
        <v>19</v>
      </c>
      <c r="F17" s="39" t="s">
        <v>14</v>
      </c>
      <c r="G17" s="39" t="s">
        <v>91</v>
      </c>
      <c r="H17" s="40">
        <v>213.87</v>
      </c>
      <c r="I17" s="40">
        <f t="shared" si="1"/>
        <v>37641.12</v>
      </c>
      <c r="J17" s="40">
        <f t="shared" si="2"/>
        <v>414052.32</v>
      </c>
      <c r="K17" s="25">
        <v>1.0</v>
      </c>
      <c r="L17" s="25">
        <v>1.0</v>
      </c>
      <c r="M17" s="25">
        <v>1.0</v>
      </c>
      <c r="N17" s="25">
        <v>0.5</v>
      </c>
      <c r="O17" s="25">
        <v>0.0</v>
      </c>
      <c r="P17" s="25">
        <v>0.0</v>
      </c>
      <c r="Q17" s="25">
        <v>0.0</v>
      </c>
      <c r="R17" s="25">
        <v>0.0</v>
      </c>
      <c r="S17" s="25">
        <v>0.0</v>
      </c>
      <c r="T17" s="25">
        <v>0.0</v>
      </c>
      <c r="U17" s="25">
        <v>0.0</v>
      </c>
      <c r="V17" s="25">
        <v>0.0</v>
      </c>
      <c r="W17" s="43"/>
      <c r="X17" s="43"/>
    </row>
    <row r="18" ht="12.75" customHeight="1">
      <c r="A18" s="39" t="s">
        <v>37</v>
      </c>
      <c r="B18" s="40" t="s">
        <v>173</v>
      </c>
      <c r="C18" s="39" t="s">
        <v>38</v>
      </c>
      <c r="D18" s="39" t="s">
        <v>120</v>
      </c>
      <c r="E18" s="39" t="s">
        <v>19</v>
      </c>
      <c r="F18" s="39" t="s">
        <v>12</v>
      </c>
      <c r="G18" s="39" t="s">
        <v>207</v>
      </c>
      <c r="H18" s="40">
        <v>213.87</v>
      </c>
      <c r="I18" s="40">
        <f t="shared" si="1"/>
        <v>37641.12</v>
      </c>
      <c r="J18" s="40">
        <f t="shared" si="2"/>
        <v>414052.32</v>
      </c>
      <c r="K18" s="25">
        <v>1.0</v>
      </c>
      <c r="L18" s="25">
        <v>1.0</v>
      </c>
      <c r="M18" s="25">
        <v>1.0</v>
      </c>
      <c r="N18" s="25">
        <v>1.0</v>
      </c>
      <c r="O18" s="25">
        <v>1.0</v>
      </c>
      <c r="P18" s="25">
        <v>1.0</v>
      </c>
      <c r="Q18" s="25">
        <v>1.0</v>
      </c>
      <c r="R18" s="25">
        <v>1.0</v>
      </c>
      <c r="S18" s="25">
        <v>1.0</v>
      </c>
      <c r="T18" s="25">
        <v>1.0</v>
      </c>
      <c r="U18" s="25">
        <v>1.0</v>
      </c>
      <c r="V18" s="25">
        <v>1.0</v>
      </c>
      <c r="W18" s="43"/>
      <c r="X18" s="43"/>
    </row>
    <row r="19" ht="12.75" customHeight="1">
      <c r="A19" s="39" t="s">
        <v>39</v>
      </c>
      <c r="B19" s="40" t="s">
        <v>173</v>
      </c>
      <c r="C19" s="39" t="s">
        <v>40</v>
      </c>
      <c r="D19" s="39" t="s">
        <v>111</v>
      </c>
      <c r="E19" s="39" t="s">
        <v>19</v>
      </c>
      <c r="F19" s="39" t="s">
        <v>12</v>
      </c>
      <c r="G19" s="39" t="s">
        <v>207</v>
      </c>
      <c r="H19" s="40">
        <v>213.87</v>
      </c>
      <c r="I19" s="40">
        <f t="shared" si="1"/>
        <v>37641.12</v>
      </c>
      <c r="J19" s="40">
        <f t="shared" si="2"/>
        <v>414052.32</v>
      </c>
      <c r="K19" s="25">
        <v>1.0</v>
      </c>
      <c r="L19" s="25">
        <v>1.0</v>
      </c>
      <c r="M19" s="25">
        <v>1.0</v>
      </c>
      <c r="N19" s="25">
        <v>1.0</v>
      </c>
      <c r="O19" s="25">
        <v>1.0</v>
      </c>
      <c r="P19" s="25">
        <v>1.0</v>
      </c>
      <c r="Q19" s="25">
        <v>1.0</v>
      </c>
      <c r="R19" s="25">
        <v>1.0</v>
      </c>
      <c r="S19" s="25">
        <v>1.0</v>
      </c>
      <c r="T19" s="25">
        <v>1.0</v>
      </c>
      <c r="U19" s="25">
        <v>1.0</v>
      </c>
      <c r="V19" s="25">
        <v>1.0</v>
      </c>
      <c r="W19" s="43"/>
      <c r="X19" s="43"/>
    </row>
    <row r="20" ht="12.75" customHeight="1">
      <c r="A20" s="39" t="s">
        <v>41</v>
      </c>
      <c r="B20" s="40" t="s">
        <v>173</v>
      </c>
      <c r="C20" s="39" t="s">
        <v>42</v>
      </c>
      <c r="D20" s="41" t="s">
        <v>133</v>
      </c>
      <c r="E20" s="39" t="s">
        <v>19</v>
      </c>
      <c r="F20" s="39" t="s">
        <v>12</v>
      </c>
      <c r="G20" s="39" t="s">
        <v>207</v>
      </c>
      <c r="H20" s="40">
        <v>191.36</v>
      </c>
      <c r="I20" s="40">
        <f t="shared" si="1"/>
        <v>33679.36</v>
      </c>
      <c r="J20" s="40">
        <f t="shared" si="2"/>
        <v>370472.96</v>
      </c>
      <c r="K20" s="25">
        <v>1.0</v>
      </c>
      <c r="L20" s="25">
        <v>1.0</v>
      </c>
      <c r="M20" s="25">
        <v>1.0</v>
      </c>
      <c r="N20" s="25">
        <v>1.0</v>
      </c>
      <c r="O20" s="25">
        <v>1.0</v>
      </c>
      <c r="P20" s="25">
        <v>1.0</v>
      </c>
      <c r="Q20" s="25">
        <v>1.0</v>
      </c>
      <c r="R20" s="25">
        <v>1.0</v>
      </c>
      <c r="S20" s="25">
        <v>1.0</v>
      </c>
      <c r="T20" s="25">
        <v>1.0</v>
      </c>
      <c r="U20" s="25">
        <v>1.0</v>
      </c>
      <c r="V20" s="25">
        <v>1.0</v>
      </c>
      <c r="W20" s="43"/>
      <c r="X20" s="43"/>
    </row>
    <row r="21" ht="12.75" customHeight="1">
      <c r="A21" s="39" t="s">
        <v>43</v>
      </c>
      <c r="B21" s="40" t="s">
        <v>173</v>
      </c>
      <c r="C21" s="39" t="s">
        <v>44</v>
      </c>
      <c r="D21" s="39" t="s">
        <v>111</v>
      </c>
      <c r="E21" s="39" t="s">
        <v>19</v>
      </c>
      <c r="F21" s="39" t="s">
        <v>12</v>
      </c>
      <c r="G21" s="39" t="s">
        <v>207</v>
      </c>
      <c r="H21" s="40">
        <v>213.87</v>
      </c>
      <c r="I21" s="40">
        <v>40000.0</v>
      </c>
      <c r="J21" s="40">
        <f>I21*12</f>
        <v>480000</v>
      </c>
      <c r="K21" s="25">
        <v>1.0</v>
      </c>
      <c r="L21" s="25">
        <v>1.0</v>
      </c>
      <c r="M21" s="25">
        <v>1.0</v>
      </c>
      <c r="N21" s="25">
        <v>1.0</v>
      </c>
      <c r="O21" s="25">
        <v>1.0</v>
      </c>
      <c r="P21" s="25">
        <v>1.0</v>
      </c>
      <c r="Q21" s="25">
        <v>1.0</v>
      </c>
      <c r="R21" s="25">
        <v>1.0</v>
      </c>
      <c r="S21" s="25">
        <v>1.0</v>
      </c>
      <c r="T21" s="25">
        <v>1.0</v>
      </c>
      <c r="U21" s="25">
        <v>1.0</v>
      </c>
      <c r="V21" s="25">
        <v>1.0</v>
      </c>
      <c r="W21" s="43"/>
      <c r="X21" s="43"/>
    </row>
    <row r="22" ht="12.75" customHeight="1">
      <c r="A22" s="39"/>
      <c r="B22" s="40"/>
      <c r="C22" s="39"/>
      <c r="D22" s="39"/>
      <c r="E22" s="39"/>
      <c r="F22" s="39"/>
      <c r="G22" s="39"/>
      <c r="H22" s="40"/>
      <c r="I22" s="40"/>
      <c r="J22" s="40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</row>
    <row r="23" ht="12.75" customHeight="1">
      <c r="A23" s="39"/>
      <c r="B23" s="40"/>
      <c r="C23" s="39"/>
      <c r="D23" s="39"/>
      <c r="E23" s="39"/>
      <c r="F23" s="39"/>
      <c r="G23" s="39"/>
      <c r="H23" s="40"/>
      <c r="I23" s="40"/>
      <c r="J23" s="40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</row>
    <row r="24" ht="12.75" customHeight="1">
      <c r="A24" s="39"/>
      <c r="B24" s="40"/>
      <c r="C24" s="39"/>
      <c r="D24" s="39"/>
      <c r="E24" s="39"/>
      <c r="F24" s="39"/>
      <c r="G24" s="39"/>
      <c r="H24" s="42"/>
      <c r="I24" s="40"/>
      <c r="J24" s="40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</row>
    <row r="25" ht="12.75" customHeight="1">
      <c r="A25" s="39"/>
      <c r="B25" s="40"/>
      <c r="C25" s="39"/>
      <c r="D25" s="39"/>
      <c r="E25" s="39"/>
      <c r="F25" s="39"/>
      <c r="G25" s="39"/>
      <c r="H25" s="42"/>
      <c r="I25" s="40"/>
      <c r="J25" s="40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</row>
    <row r="26" ht="12.75" customHeight="1">
      <c r="A26" s="39"/>
      <c r="B26" s="40"/>
      <c r="C26" s="39"/>
      <c r="D26" s="39"/>
      <c r="E26" s="39"/>
      <c r="F26" s="39"/>
      <c r="G26" s="39"/>
      <c r="H26" s="42"/>
      <c r="I26" s="40"/>
      <c r="J26" s="40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</row>
    <row r="27" ht="12.75" customHeight="1">
      <c r="A27" s="39"/>
      <c r="B27" s="40"/>
      <c r="C27" s="39"/>
      <c r="D27" s="39"/>
      <c r="E27" s="39"/>
      <c r="F27" s="39"/>
      <c r="G27" s="39"/>
      <c r="H27" s="40"/>
      <c r="I27" s="40"/>
      <c r="J27" s="40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</row>
    <row r="28" ht="12.75" customHeight="1">
      <c r="A28" s="39"/>
      <c r="B28" s="40"/>
      <c r="C28" s="39"/>
      <c r="D28" s="39"/>
      <c r="E28" s="39"/>
      <c r="F28" s="39"/>
      <c r="G28" s="39"/>
      <c r="H28" s="40"/>
      <c r="I28" s="40"/>
      <c r="J28" s="40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</row>
    <row r="29" ht="12.75" customHeight="1">
      <c r="A29" s="39"/>
      <c r="B29" s="40"/>
      <c r="C29" s="39"/>
      <c r="D29" s="39"/>
      <c r="E29" s="39"/>
      <c r="F29" s="39"/>
      <c r="G29" s="39"/>
      <c r="H29" s="40"/>
      <c r="I29" s="40"/>
      <c r="J29" s="40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</row>
    <row r="30" ht="12.75" customHeight="1">
      <c r="A30" s="39"/>
      <c r="B30" s="40"/>
      <c r="C30" s="39"/>
      <c r="D30" s="39"/>
      <c r="E30" s="39"/>
      <c r="F30" s="39"/>
      <c r="G30" s="39"/>
      <c r="H30" s="40"/>
      <c r="I30" s="40"/>
      <c r="J30" s="40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</row>
    <row r="31" ht="12.75" customHeight="1">
      <c r="A31" s="39"/>
      <c r="B31" s="40"/>
      <c r="C31" s="39"/>
      <c r="D31" s="39"/>
      <c r="E31" s="39"/>
      <c r="F31" s="39"/>
      <c r="G31" s="39"/>
      <c r="H31" s="40"/>
      <c r="I31" s="40"/>
      <c r="J31" s="40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</row>
    <row r="32" ht="12.75" customHeight="1">
      <c r="A32" s="39"/>
      <c r="B32" s="40"/>
      <c r="C32" s="39"/>
      <c r="D32" s="39"/>
      <c r="E32" s="39"/>
      <c r="F32" s="39"/>
      <c r="G32" s="39"/>
      <c r="H32" s="40"/>
      <c r="I32" s="40"/>
      <c r="J32" s="40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</row>
    <row r="33" ht="12.75" customHeight="1">
      <c r="A33" s="39"/>
      <c r="B33" s="40"/>
      <c r="C33" s="39"/>
      <c r="D33" s="39"/>
      <c r="E33" s="39"/>
      <c r="F33" s="39"/>
      <c r="G33" s="39"/>
      <c r="H33" s="40"/>
      <c r="I33" s="40"/>
      <c r="J33" s="40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</row>
    <row r="34" ht="12.75" customHeight="1">
      <c r="A34" s="39"/>
      <c r="B34" s="40"/>
      <c r="C34" s="39"/>
      <c r="D34" s="39"/>
      <c r="E34" s="39"/>
      <c r="F34" s="39"/>
      <c r="G34" s="39"/>
      <c r="H34" s="40"/>
      <c r="I34" s="40"/>
      <c r="J34" s="40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</row>
    <row r="35" ht="12.75" customHeight="1">
      <c r="A35" s="39"/>
      <c r="B35" s="40"/>
      <c r="C35" s="39"/>
      <c r="D35" s="39"/>
      <c r="E35" s="39"/>
      <c r="F35" s="39"/>
      <c r="G35" s="39"/>
      <c r="H35" s="40"/>
      <c r="I35" s="40"/>
      <c r="J35" s="40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</row>
    <row r="36" ht="12.75" customHeight="1">
      <c r="A36" s="39"/>
      <c r="B36" s="40"/>
      <c r="C36" s="39"/>
      <c r="D36" s="39"/>
      <c r="E36" s="39"/>
      <c r="F36" s="39"/>
      <c r="G36" s="39"/>
      <c r="H36" s="40"/>
      <c r="I36" s="40"/>
      <c r="J36" s="40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</row>
    <row r="37" ht="12.75" customHeight="1">
      <c r="A37" s="39"/>
      <c r="B37" s="40"/>
      <c r="C37" s="39"/>
      <c r="D37" s="39"/>
      <c r="E37" s="39"/>
      <c r="F37" s="39"/>
      <c r="G37" s="39"/>
      <c r="H37" s="40"/>
      <c r="I37" s="40"/>
      <c r="J37" s="40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</row>
    <row r="38" ht="12.75" customHeight="1">
      <c r="A38" s="39"/>
      <c r="B38" s="40"/>
      <c r="C38" s="39"/>
      <c r="D38" s="39"/>
      <c r="E38" s="39"/>
      <c r="F38" s="39"/>
      <c r="G38" s="39"/>
      <c r="H38" s="40"/>
      <c r="I38" s="40"/>
      <c r="J38" s="40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</row>
    <row r="39" ht="12.75" customHeight="1">
      <c r="A39" s="39"/>
      <c r="B39" s="40"/>
      <c r="C39" s="39"/>
      <c r="D39" s="39"/>
      <c r="E39" s="39"/>
      <c r="F39" s="39"/>
      <c r="G39" s="39"/>
      <c r="H39" s="40"/>
      <c r="I39" s="40"/>
      <c r="J39" s="40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</row>
    <row r="40" ht="12.75" customHeight="1">
      <c r="A40" s="39"/>
      <c r="B40" s="40"/>
      <c r="C40" s="39"/>
      <c r="D40" s="39"/>
      <c r="E40" s="39"/>
      <c r="F40" s="39"/>
      <c r="G40" s="39"/>
      <c r="H40" s="40"/>
      <c r="I40" s="40"/>
      <c r="J40" s="40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</row>
    <row r="41" ht="12.75" customHeight="1">
      <c r="A41" s="39"/>
      <c r="B41" s="40"/>
      <c r="C41" s="39"/>
      <c r="D41" s="39"/>
      <c r="E41" s="39"/>
      <c r="F41" s="39"/>
      <c r="G41" s="39"/>
      <c r="H41" s="40"/>
      <c r="I41" s="40"/>
      <c r="J41" s="40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</row>
    <row r="42" ht="12.75" customHeight="1">
      <c r="A42" s="39"/>
      <c r="B42" s="40"/>
      <c r="C42" s="39"/>
      <c r="D42" s="39"/>
      <c r="E42" s="39"/>
      <c r="F42" s="39"/>
      <c r="G42" s="39"/>
      <c r="H42" s="40"/>
      <c r="I42" s="40"/>
      <c r="J42" s="40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</row>
    <row r="43" ht="12.75" customHeight="1">
      <c r="A43" s="39"/>
      <c r="B43" s="40"/>
      <c r="C43" s="39"/>
      <c r="D43" s="39"/>
      <c r="E43" s="39"/>
      <c r="F43" s="39"/>
      <c r="G43" s="39"/>
      <c r="H43" s="40"/>
      <c r="I43" s="40"/>
      <c r="J43" s="40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</row>
    <row r="44" ht="12.75" customHeight="1">
      <c r="A44" s="39"/>
      <c r="B44" s="40"/>
      <c r="C44" s="39"/>
      <c r="D44" s="39"/>
      <c r="E44" s="39"/>
      <c r="F44" s="39"/>
      <c r="G44" s="39"/>
      <c r="H44" s="40"/>
      <c r="I44" s="40"/>
      <c r="J44" s="40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</row>
    <row r="45" ht="12.75" customHeight="1">
      <c r="A45" s="39"/>
      <c r="B45" s="40"/>
      <c r="C45" s="39"/>
      <c r="D45" s="39"/>
      <c r="E45" s="39"/>
      <c r="F45" s="39"/>
      <c r="G45" s="39"/>
      <c r="H45" s="40"/>
      <c r="I45" s="40"/>
      <c r="J45" s="40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</row>
    <row r="46" ht="12.75" customHeight="1">
      <c r="A46" s="39"/>
      <c r="B46" s="40"/>
      <c r="C46" s="39"/>
      <c r="D46" s="39"/>
      <c r="E46" s="39"/>
      <c r="F46" s="39"/>
      <c r="G46" s="39"/>
      <c r="H46" s="40"/>
      <c r="I46" s="40"/>
      <c r="J46" s="40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</row>
    <row r="47" ht="12.75" customHeight="1">
      <c r="A47" s="39"/>
      <c r="B47" s="40"/>
      <c r="C47" s="39"/>
      <c r="D47" s="39"/>
      <c r="E47" s="39"/>
      <c r="F47" s="39"/>
      <c r="G47" s="39"/>
      <c r="H47" s="40"/>
      <c r="I47" s="40"/>
      <c r="J47" s="40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</row>
    <row r="48" ht="12.75" customHeight="1">
      <c r="A48" s="39"/>
      <c r="B48" s="40"/>
      <c r="C48" s="39"/>
      <c r="D48" s="39"/>
      <c r="E48" s="39"/>
      <c r="F48" s="39"/>
      <c r="G48" s="39"/>
      <c r="H48" s="40"/>
      <c r="I48" s="40"/>
      <c r="J48" s="40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</row>
    <row r="49" ht="12.75" customHeight="1">
      <c r="A49" s="39"/>
      <c r="B49" s="40"/>
      <c r="C49" s="39"/>
      <c r="D49" s="39"/>
      <c r="E49" s="39"/>
      <c r="F49" s="39"/>
      <c r="G49" s="39"/>
      <c r="H49" s="40"/>
      <c r="I49" s="40"/>
      <c r="J49" s="40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</row>
    <row r="50" ht="12.75" customHeight="1">
      <c r="A50" s="39"/>
      <c r="B50" s="40"/>
      <c r="C50" s="39"/>
      <c r="D50" s="39"/>
      <c r="E50" s="39"/>
      <c r="F50" s="39"/>
      <c r="G50" s="39"/>
      <c r="H50" s="40"/>
      <c r="I50" s="40"/>
      <c r="J50" s="40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</row>
    <row r="51" ht="12.75" customHeight="1">
      <c r="A51" s="39"/>
      <c r="B51" s="40"/>
      <c r="C51" s="39"/>
      <c r="D51" s="39"/>
      <c r="E51" s="39"/>
      <c r="F51" s="39"/>
      <c r="G51" s="39"/>
      <c r="H51" s="40"/>
      <c r="I51" s="40"/>
      <c r="J51" s="40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</row>
    <row r="52" ht="12.75" customHeight="1">
      <c r="A52" s="39"/>
      <c r="B52" s="40"/>
      <c r="C52" s="39"/>
      <c r="D52" s="39"/>
      <c r="E52" s="39"/>
      <c r="F52" s="39"/>
      <c r="G52" s="39"/>
      <c r="H52" s="40"/>
      <c r="I52" s="40"/>
      <c r="J52" s="40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</row>
    <row r="53" ht="12.75" customHeight="1">
      <c r="A53" s="39"/>
      <c r="B53" s="40"/>
      <c r="C53" s="39"/>
      <c r="D53" s="39"/>
      <c r="E53" s="39"/>
      <c r="F53" s="39"/>
      <c r="G53" s="39"/>
      <c r="H53" s="40"/>
      <c r="I53" s="40"/>
      <c r="J53" s="40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</row>
    <row r="54" ht="12.75" customHeight="1">
      <c r="A54" s="39"/>
      <c r="B54" s="40"/>
      <c r="C54" s="39"/>
      <c r="D54" s="39"/>
      <c r="E54" s="39"/>
      <c r="F54" s="39"/>
      <c r="G54" s="39"/>
      <c r="H54" s="40"/>
      <c r="I54" s="40"/>
      <c r="J54" s="40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</row>
    <row r="55" ht="12.75" customHeight="1">
      <c r="A55" s="39"/>
      <c r="B55" s="40"/>
      <c r="C55" s="39"/>
      <c r="D55" s="39"/>
      <c r="E55" s="39"/>
      <c r="F55" s="39"/>
      <c r="G55" s="39"/>
      <c r="H55" s="40"/>
      <c r="I55" s="40"/>
      <c r="J55" s="40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</row>
    <row r="56" ht="12.75" customHeight="1">
      <c r="A56" s="39"/>
      <c r="B56" s="40"/>
      <c r="C56" s="39"/>
      <c r="D56" s="39"/>
      <c r="E56" s="39"/>
      <c r="F56" s="39"/>
      <c r="G56" s="39"/>
      <c r="H56" s="40"/>
      <c r="I56" s="40"/>
      <c r="J56" s="40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</row>
    <row r="57" ht="12.75" customHeight="1">
      <c r="A57" s="39"/>
      <c r="B57" s="40"/>
      <c r="C57" s="39"/>
      <c r="D57" s="39"/>
      <c r="E57" s="39"/>
      <c r="F57" s="39"/>
      <c r="G57" s="39"/>
      <c r="H57" s="40"/>
      <c r="I57" s="40"/>
      <c r="J57" s="40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 ht="12.75" customHeight="1">
      <c r="A58" s="39"/>
      <c r="B58" s="40"/>
      <c r="C58" s="39"/>
      <c r="D58" s="39"/>
      <c r="E58" s="39"/>
      <c r="F58" s="39"/>
      <c r="G58" s="39"/>
      <c r="H58" s="40"/>
      <c r="I58" s="40"/>
      <c r="J58" s="40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 ht="12.75" customHeight="1">
      <c r="A59" s="39"/>
      <c r="B59" s="40"/>
      <c r="C59" s="39"/>
      <c r="D59" s="39"/>
      <c r="E59" s="39"/>
      <c r="F59" s="39"/>
      <c r="G59" s="39"/>
      <c r="H59" s="40"/>
      <c r="I59" s="40"/>
      <c r="J59" s="40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 ht="12.75" customHeight="1">
      <c r="A60" s="39"/>
      <c r="B60" s="40"/>
      <c r="C60" s="39"/>
      <c r="D60" s="39"/>
      <c r="E60" s="39"/>
      <c r="F60" s="39"/>
      <c r="G60" s="39"/>
      <c r="H60" s="40"/>
      <c r="I60" s="40"/>
      <c r="J60" s="40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 ht="12.75" customHeight="1">
      <c r="A61" s="39"/>
      <c r="B61" s="40"/>
      <c r="C61" s="39"/>
      <c r="D61" s="39"/>
      <c r="E61" s="39"/>
      <c r="F61" s="39"/>
      <c r="G61" s="39"/>
      <c r="H61" s="40"/>
      <c r="I61" s="40"/>
      <c r="J61" s="40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 ht="12.75" customHeight="1">
      <c r="A62" s="39"/>
      <c r="B62" s="40"/>
      <c r="C62" s="39"/>
      <c r="D62" s="39"/>
      <c r="E62" s="39"/>
      <c r="F62" s="39"/>
      <c r="G62" s="39"/>
      <c r="H62" s="40"/>
      <c r="I62" s="40"/>
      <c r="J62" s="40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 ht="12.75" customHeight="1">
      <c r="A63" s="39"/>
      <c r="B63" s="40"/>
      <c r="C63" s="39"/>
      <c r="D63" s="39"/>
      <c r="E63" s="39"/>
      <c r="F63" s="39"/>
      <c r="G63" s="39"/>
      <c r="H63" s="40"/>
      <c r="I63" s="40"/>
      <c r="J63" s="40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 ht="12.75" customHeight="1">
      <c r="A64" s="39"/>
      <c r="B64" s="40"/>
      <c r="C64" s="39"/>
      <c r="D64" s="39"/>
      <c r="E64" s="39"/>
      <c r="F64" s="39"/>
      <c r="G64" s="39"/>
      <c r="H64" s="40"/>
      <c r="I64" s="40"/>
      <c r="J64" s="40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 ht="12.75" customHeight="1">
      <c r="A65" s="39"/>
      <c r="B65" s="40"/>
      <c r="C65" s="39"/>
      <c r="D65" s="39"/>
      <c r="E65" s="39"/>
      <c r="F65" s="39"/>
      <c r="G65" s="39"/>
      <c r="H65" s="40"/>
      <c r="I65" s="40"/>
      <c r="J65" s="40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 ht="12.75" customHeight="1">
      <c r="A66" s="39"/>
      <c r="B66" s="40"/>
      <c r="C66" s="39"/>
      <c r="D66" s="39"/>
      <c r="E66" s="39"/>
      <c r="F66" s="39"/>
      <c r="G66" s="39"/>
      <c r="H66" s="40"/>
      <c r="I66" s="40"/>
      <c r="J66" s="40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 ht="12.75" customHeight="1">
      <c r="A67" s="39"/>
      <c r="B67" s="40"/>
      <c r="C67" s="39"/>
      <c r="D67" s="39"/>
      <c r="E67" s="39"/>
      <c r="F67" s="39"/>
      <c r="G67" s="39"/>
      <c r="H67" s="40"/>
      <c r="I67" s="40"/>
      <c r="J67" s="40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 ht="12.75" customHeight="1">
      <c r="A68" s="39"/>
      <c r="B68" s="40"/>
      <c r="C68" s="39"/>
      <c r="D68" s="39"/>
      <c r="E68" s="39"/>
      <c r="F68" s="39"/>
      <c r="G68" s="39"/>
      <c r="H68" s="40"/>
      <c r="I68" s="40"/>
      <c r="J68" s="40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 ht="12.75" customHeight="1">
      <c r="A69" s="39"/>
      <c r="B69" s="40"/>
      <c r="C69" s="39"/>
      <c r="D69" s="39"/>
      <c r="E69" s="39"/>
      <c r="F69" s="39"/>
      <c r="G69" s="39"/>
      <c r="H69" s="40"/>
      <c r="I69" s="40"/>
      <c r="J69" s="40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 ht="12.75" customHeight="1">
      <c r="A70" s="39"/>
      <c r="B70" s="40"/>
      <c r="C70" s="39"/>
      <c r="D70" s="39"/>
      <c r="E70" s="39"/>
      <c r="F70" s="39"/>
      <c r="G70" s="39"/>
      <c r="H70" s="40"/>
      <c r="I70" s="40"/>
      <c r="J70" s="40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 ht="12.75" customHeight="1">
      <c r="A71" s="39"/>
      <c r="B71" s="40"/>
      <c r="C71" s="39"/>
      <c r="D71" s="39"/>
      <c r="E71" s="39"/>
      <c r="F71" s="39"/>
      <c r="G71" s="39"/>
      <c r="H71" s="40"/>
      <c r="I71" s="40"/>
      <c r="J71" s="40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 ht="12.75" customHeight="1">
      <c r="A72" s="39"/>
      <c r="B72" s="40"/>
      <c r="C72" s="39"/>
      <c r="D72" s="39"/>
      <c r="E72" s="39"/>
      <c r="F72" s="39"/>
      <c r="G72" s="39"/>
      <c r="H72" s="40"/>
      <c r="I72" s="40"/>
      <c r="J72" s="40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 ht="12.75" customHeight="1">
      <c r="A73" s="39"/>
      <c r="B73" s="40"/>
      <c r="C73" s="39"/>
      <c r="D73" s="39"/>
      <c r="E73" s="39"/>
      <c r="F73" s="39"/>
      <c r="G73" s="39"/>
      <c r="H73" s="40"/>
      <c r="I73" s="40"/>
      <c r="J73" s="40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 ht="12.75" customHeight="1">
      <c r="A74" s="39"/>
      <c r="B74" s="40"/>
      <c r="C74" s="39"/>
      <c r="D74" s="39"/>
      <c r="E74" s="39"/>
      <c r="F74" s="39"/>
      <c r="G74" s="39"/>
      <c r="H74" s="40"/>
      <c r="I74" s="40"/>
      <c r="J74" s="40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 ht="12.75" customHeight="1">
      <c r="A75" s="39"/>
      <c r="B75" s="40"/>
      <c r="C75" s="39"/>
      <c r="D75" s="39"/>
      <c r="E75" s="39"/>
      <c r="F75" s="39"/>
      <c r="G75" s="39"/>
      <c r="H75" s="40"/>
      <c r="I75" s="40"/>
      <c r="J75" s="40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 ht="12.75" customHeight="1">
      <c r="A76" s="39"/>
      <c r="B76" s="40"/>
      <c r="C76" s="39"/>
      <c r="D76" s="39"/>
      <c r="E76" s="39"/>
      <c r="F76" s="39"/>
      <c r="G76" s="39"/>
      <c r="H76" s="40"/>
      <c r="I76" s="40"/>
      <c r="J76" s="40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 ht="12.75" customHeight="1">
      <c r="A77" s="39"/>
      <c r="B77" s="40"/>
      <c r="C77" s="39"/>
      <c r="D77" s="39"/>
      <c r="E77" s="39"/>
      <c r="F77" s="39"/>
      <c r="G77" s="39"/>
      <c r="H77" s="40"/>
      <c r="I77" s="40"/>
      <c r="J77" s="40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 ht="12.75" customHeight="1">
      <c r="A78" s="39"/>
      <c r="B78" s="40"/>
      <c r="C78" s="39"/>
      <c r="D78" s="39"/>
      <c r="E78" s="39"/>
      <c r="F78" s="39"/>
      <c r="G78" s="39"/>
      <c r="H78" s="40"/>
      <c r="I78" s="40"/>
      <c r="J78" s="40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 ht="12.75" customHeight="1">
      <c r="A79" s="39"/>
      <c r="B79" s="40"/>
      <c r="C79" s="39"/>
      <c r="D79" s="39"/>
      <c r="E79" s="39"/>
      <c r="F79" s="39"/>
      <c r="G79" s="39"/>
      <c r="H79" s="40"/>
      <c r="I79" s="40"/>
      <c r="J79" s="40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 ht="12.75" customHeight="1">
      <c r="A80" s="39"/>
      <c r="B80" s="40"/>
      <c r="C80" s="39"/>
      <c r="D80" s="39"/>
      <c r="E80" s="39"/>
      <c r="F80" s="39"/>
      <c r="G80" s="39"/>
      <c r="H80" s="40"/>
      <c r="I80" s="40"/>
      <c r="J80" s="40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 ht="12.75" customHeight="1">
      <c r="A81" s="39"/>
      <c r="B81" s="40"/>
      <c r="C81" s="39"/>
      <c r="D81" s="39"/>
      <c r="E81" s="39"/>
      <c r="F81" s="39"/>
      <c r="G81" s="39"/>
      <c r="H81" s="40"/>
      <c r="I81" s="40"/>
      <c r="J81" s="40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 ht="12.75" customHeight="1">
      <c r="A82" s="39"/>
      <c r="B82" s="40"/>
      <c r="C82" s="39"/>
      <c r="D82" s="39"/>
      <c r="E82" s="39"/>
      <c r="F82" s="39"/>
      <c r="G82" s="39"/>
      <c r="H82" s="40"/>
      <c r="I82" s="40"/>
      <c r="J82" s="40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 ht="12.75" customHeight="1">
      <c r="A83" s="39"/>
      <c r="B83" s="40"/>
      <c r="C83" s="39"/>
      <c r="D83" s="39"/>
      <c r="E83" s="39"/>
      <c r="F83" s="39"/>
      <c r="G83" s="39"/>
      <c r="H83" s="40"/>
      <c r="I83" s="40"/>
      <c r="J83" s="40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 ht="12.75" customHeight="1">
      <c r="A84" s="39"/>
      <c r="B84" s="40"/>
      <c r="C84" s="39"/>
      <c r="D84" s="39"/>
      <c r="E84" s="39"/>
      <c r="F84" s="39"/>
      <c r="G84" s="39"/>
      <c r="H84" s="40"/>
      <c r="I84" s="40"/>
      <c r="J84" s="40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ht="12.75" customHeight="1">
      <c r="A85" s="39"/>
      <c r="B85" s="40"/>
      <c r="C85" s="39"/>
      <c r="D85" s="39"/>
      <c r="E85" s="39"/>
      <c r="F85" s="39"/>
      <c r="G85" s="39"/>
      <c r="H85" s="40"/>
      <c r="I85" s="40"/>
      <c r="J85" s="40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 ht="12.75" customHeight="1">
      <c r="A86" s="39"/>
      <c r="B86" s="40"/>
      <c r="C86" s="39"/>
      <c r="D86" s="39"/>
      <c r="E86" s="39"/>
      <c r="F86" s="39"/>
      <c r="G86" s="39"/>
      <c r="H86" s="40"/>
      <c r="I86" s="40"/>
      <c r="J86" s="40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 ht="12.75" customHeight="1">
      <c r="A87" s="39"/>
      <c r="B87" s="40"/>
      <c r="C87" s="39"/>
      <c r="D87" s="39"/>
      <c r="E87" s="39"/>
      <c r="F87" s="39"/>
      <c r="G87" s="39"/>
      <c r="H87" s="40"/>
      <c r="I87" s="40"/>
      <c r="J87" s="40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 ht="12.75" customHeight="1">
      <c r="A88" s="39"/>
      <c r="B88" s="40"/>
      <c r="C88" s="39"/>
      <c r="D88" s="39"/>
      <c r="E88" s="39"/>
      <c r="F88" s="39"/>
      <c r="G88" s="39"/>
      <c r="H88" s="40"/>
      <c r="I88" s="40"/>
      <c r="J88" s="40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 ht="12.75" customHeight="1">
      <c r="A89" s="39"/>
      <c r="B89" s="40"/>
      <c r="C89" s="39"/>
      <c r="D89" s="39"/>
      <c r="E89" s="39"/>
      <c r="F89" s="39"/>
      <c r="G89" s="39"/>
      <c r="H89" s="40"/>
      <c r="I89" s="40"/>
      <c r="J89" s="40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 ht="12.75" customHeight="1">
      <c r="A90" s="39"/>
      <c r="B90" s="40"/>
      <c r="C90" s="39"/>
      <c r="D90" s="39"/>
      <c r="E90" s="39"/>
      <c r="F90" s="39"/>
      <c r="G90" s="39"/>
      <c r="H90" s="40"/>
      <c r="I90" s="40"/>
      <c r="J90" s="40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 ht="12.75" customHeight="1">
      <c r="A91" s="39"/>
      <c r="B91" s="40"/>
      <c r="C91" s="39"/>
      <c r="D91" s="39"/>
      <c r="E91" s="39"/>
      <c r="F91" s="39"/>
      <c r="G91" s="39"/>
      <c r="H91" s="40"/>
      <c r="I91" s="40"/>
      <c r="J91" s="40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 ht="12.75" customHeight="1">
      <c r="A92" s="39"/>
      <c r="B92" s="40"/>
      <c r="C92" s="39"/>
      <c r="D92" s="39"/>
      <c r="E92" s="39"/>
      <c r="F92" s="39"/>
      <c r="G92" s="39"/>
      <c r="H92" s="40"/>
      <c r="I92" s="40"/>
      <c r="J92" s="40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 ht="12.75" customHeight="1">
      <c r="A93" s="39"/>
      <c r="B93" s="40"/>
      <c r="C93" s="39"/>
      <c r="D93" s="39"/>
      <c r="E93" s="39"/>
      <c r="F93" s="39"/>
      <c r="G93" s="39"/>
      <c r="H93" s="40"/>
      <c r="I93" s="40"/>
      <c r="J93" s="40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 ht="12.75" customHeight="1">
      <c r="A94" s="39"/>
      <c r="B94" s="40"/>
      <c r="C94" s="39"/>
      <c r="D94" s="39"/>
      <c r="E94" s="39"/>
      <c r="F94" s="39"/>
      <c r="G94" s="39"/>
      <c r="H94" s="40"/>
      <c r="I94" s="40"/>
      <c r="J94" s="40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 ht="12.75" customHeight="1">
      <c r="A95" s="39"/>
      <c r="B95" s="40"/>
      <c r="C95" s="39"/>
      <c r="D95" s="39"/>
      <c r="E95" s="39"/>
      <c r="F95" s="39"/>
      <c r="G95" s="39"/>
      <c r="H95" s="40"/>
      <c r="I95" s="40"/>
      <c r="J95" s="40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 ht="12.75" customHeight="1">
      <c r="A96" s="39"/>
      <c r="B96" s="40"/>
      <c r="C96" s="39"/>
      <c r="D96" s="39"/>
      <c r="E96" s="39"/>
      <c r="F96" s="39"/>
      <c r="G96" s="39"/>
      <c r="H96" s="40"/>
      <c r="I96" s="40"/>
      <c r="J96" s="40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 ht="12.75" customHeight="1">
      <c r="A97" s="39"/>
      <c r="B97" s="40"/>
      <c r="C97" s="39"/>
      <c r="D97" s="39"/>
      <c r="E97" s="39"/>
      <c r="F97" s="39"/>
      <c r="G97" s="39"/>
      <c r="H97" s="40"/>
      <c r="I97" s="40"/>
      <c r="J97" s="40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 ht="12.75" customHeight="1">
      <c r="A98" s="39"/>
      <c r="B98" s="40"/>
      <c r="C98" s="39"/>
      <c r="D98" s="39"/>
      <c r="E98" s="39"/>
      <c r="F98" s="39"/>
      <c r="G98" s="39"/>
      <c r="H98" s="40"/>
      <c r="I98" s="40"/>
      <c r="J98" s="40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 ht="12.75" customHeight="1">
      <c r="A99" s="39"/>
      <c r="B99" s="40"/>
      <c r="C99" s="39"/>
      <c r="D99" s="39"/>
      <c r="E99" s="39"/>
      <c r="F99" s="39"/>
      <c r="G99" s="39"/>
      <c r="H99" s="40"/>
      <c r="I99" s="40"/>
      <c r="J99" s="40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 ht="12.75" customHeight="1">
      <c r="A100" s="39"/>
      <c r="B100" s="40"/>
      <c r="C100" s="39"/>
      <c r="D100" s="39"/>
      <c r="E100" s="39"/>
      <c r="F100" s="39"/>
      <c r="G100" s="39"/>
      <c r="H100" s="40"/>
      <c r="I100" s="40"/>
      <c r="J100" s="40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 ht="12.75" customHeight="1">
      <c r="A101" s="39"/>
      <c r="B101" s="40"/>
      <c r="C101" s="39"/>
      <c r="D101" s="39"/>
      <c r="E101" s="39"/>
      <c r="F101" s="39"/>
      <c r="G101" s="39"/>
      <c r="H101" s="40"/>
      <c r="I101" s="40"/>
      <c r="J101" s="40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 ht="12.75" customHeight="1">
      <c r="A102" s="39"/>
      <c r="B102" s="40"/>
      <c r="C102" s="39"/>
      <c r="D102" s="39"/>
      <c r="E102" s="39"/>
      <c r="F102" s="39"/>
      <c r="G102" s="39"/>
      <c r="H102" s="40"/>
      <c r="I102" s="40"/>
      <c r="J102" s="40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 ht="12.75" customHeight="1">
      <c r="A103" s="39"/>
      <c r="B103" s="40"/>
      <c r="C103" s="39"/>
      <c r="D103" s="39"/>
      <c r="E103" s="39"/>
      <c r="F103" s="39"/>
      <c r="G103" s="39"/>
      <c r="H103" s="40"/>
      <c r="I103" s="40"/>
      <c r="J103" s="40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 ht="12.75" customHeight="1">
      <c r="A104" s="39"/>
      <c r="B104" s="40"/>
      <c r="C104" s="39"/>
      <c r="D104" s="39"/>
      <c r="E104" s="39"/>
      <c r="F104" s="39"/>
      <c r="G104" s="39"/>
      <c r="H104" s="40"/>
      <c r="I104" s="40"/>
      <c r="J104" s="40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 ht="12.75" customHeight="1">
      <c r="A105" s="39"/>
      <c r="B105" s="40"/>
      <c r="C105" s="39"/>
      <c r="D105" s="39"/>
      <c r="E105" s="39"/>
      <c r="F105" s="39"/>
      <c r="G105" s="39"/>
      <c r="H105" s="40"/>
      <c r="I105" s="40"/>
      <c r="J105" s="40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 ht="12.75" customHeight="1">
      <c r="A106" s="39"/>
      <c r="B106" s="40"/>
      <c r="C106" s="39"/>
      <c r="D106" s="39"/>
      <c r="E106" s="39"/>
      <c r="F106" s="39"/>
      <c r="G106" s="39"/>
      <c r="H106" s="40"/>
      <c r="I106" s="40"/>
      <c r="J106" s="40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 ht="12.75" customHeight="1">
      <c r="A107" s="39"/>
      <c r="B107" s="40"/>
      <c r="C107" s="39"/>
      <c r="D107" s="39"/>
      <c r="E107" s="39"/>
      <c r="F107" s="39"/>
      <c r="G107" s="39"/>
      <c r="H107" s="40"/>
      <c r="I107" s="40"/>
      <c r="J107" s="40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 ht="12.75" customHeight="1">
      <c r="A108" s="39"/>
      <c r="B108" s="40"/>
      <c r="C108" s="39"/>
      <c r="D108" s="39"/>
      <c r="E108" s="39"/>
      <c r="F108" s="39"/>
      <c r="G108" s="39"/>
      <c r="H108" s="40"/>
      <c r="I108" s="40"/>
      <c r="J108" s="40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 ht="12.75" customHeight="1">
      <c r="A109" s="39"/>
      <c r="B109" s="40"/>
      <c r="C109" s="39"/>
      <c r="D109" s="39"/>
      <c r="E109" s="39"/>
      <c r="F109" s="39"/>
      <c r="G109" s="39"/>
      <c r="H109" s="40"/>
      <c r="I109" s="40"/>
      <c r="J109" s="40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 ht="12.75" customHeight="1">
      <c r="A110" s="39"/>
      <c r="B110" s="40"/>
      <c r="C110" s="39"/>
      <c r="D110" s="39"/>
      <c r="E110" s="39"/>
      <c r="F110" s="39"/>
      <c r="G110" s="39"/>
      <c r="H110" s="40"/>
      <c r="I110" s="40"/>
      <c r="J110" s="40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 ht="12.75" customHeight="1">
      <c r="A111" s="39"/>
      <c r="B111" s="40"/>
      <c r="C111" s="39"/>
      <c r="D111" s="39"/>
      <c r="E111" s="39"/>
      <c r="F111" s="39"/>
      <c r="G111" s="39"/>
      <c r="H111" s="40"/>
      <c r="I111" s="40"/>
      <c r="J111" s="40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 ht="12.75" customHeight="1">
      <c r="A112" s="39"/>
      <c r="B112" s="40"/>
      <c r="C112" s="39"/>
      <c r="D112" s="39"/>
      <c r="E112" s="39"/>
      <c r="F112" s="39"/>
      <c r="G112" s="39"/>
      <c r="H112" s="40"/>
      <c r="I112" s="40"/>
      <c r="J112" s="40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 ht="12.75" customHeight="1">
      <c r="A113" s="39"/>
      <c r="B113" s="40"/>
      <c r="C113" s="39"/>
      <c r="D113" s="39"/>
      <c r="E113" s="39"/>
      <c r="F113" s="39"/>
      <c r="G113" s="39"/>
      <c r="H113" s="40"/>
      <c r="I113" s="40"/>
      <c r="J113" s="40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 ht="12.75" customHeight="1">
      <c r="A114" s="39"/>
      <c r="B114" s="40"/>
      <c r="C114" s="39"/>
      <c r="D114" s="39"/>
      <c r="E114" s="39"/>
      <c r="F114" s="39"/>
      <c r="G114" s="39"/>
      <c r="H114" s="40"/>
      <c r="I114" s="40"/>
      <c r="J114" s="40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 ht="12.75" customHeight="1">
      <c r="A115" s="39"/>
      <c r="B115" s="40"/>
      <c r="C115" s="39"/>
      <c r="D115" s="39"/>
      <c r="E115" s="39"/>
      <c r="F115" s="39"/>
      <c r="G115" s="39"/>
      <c r="H115" s="40"/>
      <c r="I115" s="40"/>
      <c r="J115" s="40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 ht="12.75" customHeight="1">
      <c r="A116" s="39"/>
      <c r="B116" s="40"/>
      <c r="C116" s="39"/>
      <c r="D116" s="39"/>
      <c r="E116" s="39"/>
      <c r="F116" s="39"/>
      <c r="G116" s="39"/>
      <c r="H116" s="40"/>
      <c r="I116" s="40"/>
      <c r="J116" s="40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 ht="12.75" customHeight="1">
      <c r="A117" s="39"/>
      <c r="B117" s="40"/>
      <c r="C117" s="39"/>
      <c r="D117" s="39"/>
      <c r="E117" s="39"/>
      <c r="F117" s="39"/>
      <c r="G117" s="39"/>
      <c r="H117" s="40"/>
      <c r="I117" s="40"/>
      <c r="J117" s="40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 ht="12.75" customHeight="1">
      <c r="A118" s="39"/>
      <c r="B118" s="40"/>
      <c r="C118" s="39"/>
      <c r="D118" s="39"/>
      <c r="E118" s="39"/>
      <c r="F118" s="39"/>
      <c r="G118" s="39"/>
      <c r="H118" s="40"/>
      <c r="I118" s="40"/>
      <c r="J118" s="40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 ht="12.75" customHeight="1">
      <c r="A119" s="39"/>
      <c r="B119" s="40"/>
      <c r="C119" s="39"/>
      <c r="D119" s="39"/>
      <c r="E119" s="39"/>
      <c r="F119" s="39"/>
      <c r="G119" s="39"/>
      <c r="H119" s="40"/>
      <c r="I119" s="40"/>
      <c r="J119" s="40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 ht="12.75" customHeight="1">
      <c r="A120" s="39"/>
      <c r="B120" s="40"/>
      <c r="C120" s="39"/>
      <c r="D120" s="39"/>
      <c r="E120" s="39"/>
      <c r="F120" s="39"/>
      <c r="G120" s="39"/>
      <c r="H120" s="40"/>
      <c r="I120" s="40"/>
      <c r="J120" s="40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 ht="12.75" customHeight="1">
      <c r="A121" s="39"/>
      <c r="B121" s="40"/>
      <c r="C121" s="39"/>
      <c r="D121" s="39"/>
      <c r="E121" s="39"/>
      <c r="F121" s="39"/>
      <c r="G121" s="39"/>
      <c r="H121" s="40"/>
      <c r="I121" s="40"/>
      <c r="J121" s="40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 ht="12.75" customHeight="1">
      <c r="A122" s="39"/>
      <c r="B122" s="40"/>
      <c r="C122" s="39"/>
      <c r="D122" s="39"/>
      <c r="E122" s="39"/>
      <c r="F122" s="39"/>
      <c r="G122" s="39"/>
      <c r="H122" s="40"/>
      <c r="I122" s="40"/>
      <c r="J122" s="40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 ht="12.75" customHeight="1">
      <c r="A123" s="39"/>
      <c r="B123" s="40"/>
      <c r="C123" s="39"/>
      <c r="D123" s="39"/>
      <c r="E123" s="39"/>
      <c r="F123" s="39"/>
      <c r="G123" s="39"/>
      <c r="H123" s="40"/>
      <c r="I123" s="40"/>
      <c r="J123" s="40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 ht="12.75" customHeight="1">
      <c r="A124" s="39"/>
      <c r="B124" s="40"/>
      <c r="C124" s="39"/>
      <c r="D124" s="39"/>
      <c r="E124" s="39"/>
      <c r="F124" s="39"/>
      <c r="G124" s="39"/>
      <c r="H124" s="40"/>
      <c r="I124" s="40"/>
      <c r="J124" s="40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 ht="12.75" customHeight="1">
      <c r="A125" s="39"/>
      <c r="B125" s="40"/>
      <c r="C125" s="39"/>
      <c r="D125" s="39"/>
      <c r="E125" s="39"/>
      <c r="F125" s="39"/>
      <c r="G125" s="39"/>
      <c r="H125" s="40"/>
      <c r="I125" s="40"/>
      <c r="J125" s="40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 ht="12.75" customHeight="1">
      <c r="A126" s="39"/>
      <c r="B126" s="40"/>
      <c r="C126" s="39"/>
      <c r="D126" s="39"/>
      <c r="E126" s="39"/>
      <c r="F126" s="39"/>
      <c r="G126" s="39"/>
      <c r="H126" s="40"/>
      <c r="I126" s="40"/>
      <c r="J126" s="40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 ht="12.75" customHeight="1">
      <c r="A127" s="39"/>
      <c r="B127" s="40"/>
      <c r="C127" s="39"/>
      <c r="D127" s="39"/>
      <c r="E127" s="39"/>
      <c r="F127" s="39"/>
      <c r="G127" s="39"/>
      <c r="H127" s="40"/>
      <c r="I127" s="40"/>
      <c r="J127" s="40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 ht="12.75" customHeight="1">
      <c r="A128" s="39"/>
      <c r="B128" s="40"/>
      <c r="C128" s="39"/>
      <c r="D128" s="39"/>
      <c r="E128" s="39"/>
      <c r="F128" s="39"/>
      <c r="G128" s="39"/>
      <c r="H128" s="40"/>
      <c r="I128" s="40"/>
      <c r="J128" s="40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 ht="12.75" customHeight="1">
      <c r="A129" s="39"/>
      <c r="B129" s="40"/>
      <c r="C129" s="39"/>
      <c r="D129" s="39"/>
      <c r="E129" s="39"/>
      <c r="F129" s="39"/>
      <c r="G129" s="39"/>
      <c r="H129" s="40"/>
      <c r="I129" s="40"/>
      <c r="J129" s="40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 ht="12.75" customHeight="1">
      <c r="A130" s="39"/>
      <c r="B130" s="40"/>
      <c r="C130" s="39"/>
      <c r="D130" s="39"/>
      <c r="E130" s="39"/>
      <c r="F130" s="39"/>
      <c r="G130" s="39"/>
      <c r="H130" s="40"/>
      <c r="I130" s="40"/>
      <c r="J130" s="40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 ht="12.75" customHeight="1">
      <c r="A131" s="39"/>
      <c r="B131" s="40"/>
      <c r="C131" s="39"/>
      <c r="D131" s="39"/>
      <c r="E131" s="39"/>
      <c r="F131" s="39"/>
      <c r="G131" s="39"/>
      <c r="H131" s="40"/>
      <c r="I131" s="40"/>
      <c r="J131" s="40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 ht="12.75" customHeight="1">
      <c r="A132" s="39"/>
      <c r="B132" s="40"/>
      <c r="C132" s="39"/>
      <c r="D132" s="39"/>
      <c r="E132" s="39"/>
      <c r="F132" s="39"/>
      <c r="G132" s="39"/>
      <c r="H132" s="40"/>
      <c r="I132" s="40"/>
      <c r="J132" s="40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 ht="12.75" customHeight="1">
      <c r="A133" s="39"/>
      <c r="B133" s="40"/>
      <c r="C133" s="39"/>
      <c r="D133" s="39"/>
      <c r="E133" s="39"/>
      <c r="F133" s="39"/>
      <c r="G133" s="39"/>
      <c r="H133" s="40"/>
      <c r="I133" s="40"/>
      <c r="J133" s="40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 ht="12.75" customHeight="1">
      <c r="A134" s="39"/>
      <c r="B134" s="40"/>
      <c r="C134" s="39"/>
      <c r="D134" s="39"/>
      <c r="E134" s="39"/>
      <c r="F134" s="39"/>
      <c r="G134" s="39"/>
      <c r="H134" s="40"/>
      <c r="I134" s="40"/>
      <c r="J134" s="40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 ht="12.75" customHeight="1">
      <c r="A135" s="39"/>
      <c r="B135" s="40"/>
      <c r="C135" s="39"/>
      <c r="D135" s="39"/>
      <c r="E135" s="39"/>
      <c r="F135" s="39"/>
      <c r="G135" s="39"/>
      <c r="H135" s="40"/>
      <c r="I135" s="40"/>
      <c r="J135" s="40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 ht="12.75" customHeight="1">
      <c r="A136" s="39"/>
      <c r="B136" s="40"/>
      <c r="C136" s="39"/>
      <c r="D136" s="39"/>
      <c r="E136" s="39"/>
      <c r="F136" s="39"/>
      <c r="G136" s="39"/>
      <c r="H136" s="40"/>
      <c r="I136" s="40"/>
      <c r="J136" s="40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 ht="12.75" customHeight="1">
      <c r="A137" s="39"/>
      <c r="B137" s="40"/>
      <c r="C137" s="39"/>
      <c r="D137" s="39"/>
      <c r="E137" s="39"/>
      <c r="F137" s="39"/>
      <c r="G137" s="39"/>
      <c r="H137" s="40"/>
      <c r="I137" s="40"/>
      <c r="J137" s="40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 ht="12.75" customHeight="1">
      <c r="A138" s="39"/>
      <c r="B138" s="40"/>
      <c r="C138" s="39"/>
      <c r="D138" s="39"/>
      <c r="E138" s="39"/>
      <c r="F138" s="39"/>
      <c r="G138" s="39"/>
      <c r="H138" s="40"/>
      <c r="I138" s="40"/>
      <c r="J138" s="40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 ht="12.75" customHeight="1">
      <c r="A139" s="39"/>
      <c r="B139" s="40"/>
      <c r="C139" s="39"/>
      <c r="D139" s="39"/>
      <c r="E139" s="39"/>
      <c r="F139" s="39"/>
      <c r="G139" s="39"/>
      <c r="H139" s="40"/>
      <c r="I139" s="40"/>
      <c r="J139" s="40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 ht="12.75" customHeight="1">
      <c r="A140" s="39"/>
      <c r="B140" s="40"/>
      <c r="C140" s="39"/>
      <c r="D140" s="39"/>
      <c r="E140" s="39"/>
      <c r="F140" s="39"/>
      <c r="G140" s="39"/>
      <c r="H140" s="40"/>
      <c r="I140" s="40"/>
      <c r="J140" s="40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 ht="12.75" customHeight="1">
      <c r="A141" s="39"/>
      <c r="B141" s="40"/>
      <c r="C141" s="39"/>
      <c r="D141" s="39"/>
      <c r="E141" s="39"/>
      <c r="F141" s="39"/>
      <c r="G141" s="39"/>
      <c r="H141" s="40"/>
      <c r="I141" s="40"/>
      <c r="J141" s="40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 ht="12.75" customHeight="1">
      <c r="A142" s="39"/>
      <c r="B142" s="40"/>
      <c r="C142" s="39"/>
      <c r="D142" s="39"/>
      <c r="E142" s="39"/>
      <c r="F142" s="39"/>
      <c r="G142" s="39"/>
      <c r="H142" s="40"/>
      <c r="I142" s="40"/>
      <c r="J142" s="40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 ht="12.75" customHeight="1">
      <c r="A143" s="39"/>
      <c r="B143" s="40"/>
      <c r="C143" s="39"/>
      <c r="D143" s="39"/>
      <c r="E143" s="39"/>
      <c r="F143" s="39"/>
      <c r="G143" s="39"/>
      <c r="H143" s="40"/>
      <c r="I143" s="40"/>
      <c r="J143" s="40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 ht="12.75" customHeight="1">
      <c r="A144" s="39"/>
      <c r="B144" s="40"/>
      <c r="C144" s="39"/>
      <c r="D144" s="39"/>
      <c r="E144" s="39"/>
      <c r="F144" s="39"/>
      <c r="G144" s="39"/>
      <c r="H144" s="40"/>
      <c r="I144" s="40"/>
      <c r="J144" s="40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 ht="12.75" customHeight="1">
      <c r="A145" s="39"/>
      <c r="B145" s="40"/>
      <c r="C145" s="39"/>
      <c r="D145" s="39"/>
      <c r="E145" s="39"/>
      <c r="F145" s="39"/>
      <c r="G145" s="39"/>
      <c r="H145" s="40"/>
      <c r="I145" s="40"/>
      <c r="J145" s="40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 ht="12.75" customHeight="1">
      <c r="A146" s="39"/>
      <c r="B146" s="40"/>
      <c r="C146" s="39"/>
      <c r="D146" s="39"/>
      <c r="E146" s="39"/>
      <c r="F146" s="39"/>
      <c r="G146" s="39"/>
      <c r="H146" s="40"/>
      <c r="I146" s="40"/>
      <c r="J146" s="40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 ht="12.75" customHeight="1">
      <c r="A147" s="39"/>
      <c r="B147" s="40"/>
      <c r="C147" s="39"/>
      <c r="D147" s="39"/>
      <c r="E147" s="39"/>
      <c r="F147" s="39"/>
      <c r="G147" s="39"/>
      <c r="H147" s="40"/>
      <c r="I147" s="40"/>
      <c r="J147" s="40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 ht="12.75" customHeight="1">
      <c r="A148" s="39"/>
      <c r="B148" s="40"/>
      <c r="C148" s="39"/>
      <c r="D148" s="39"/>
      <c r="E148" s="39"/>
      <c r="F148" s="39"/>
      <c r="G148" s="39"/>
      <c r="H148" s="40"/>
      <c r="I148" s="40"/>
      <c r="J148" s="40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 ht="12.75" customHeight="1">
      <c r="A149" s="39"/>
      <c r="B149" s="40"/>
      <c r="C149" s="39"/>
      <c r="D149" s="39"/>
      <c r="E149" s="39"/>
      <c r="F149" s="39"/>
      <c r="G149" s="39"/>
      <c r="H149" s="40"/>
      <c r="I149" s="40"/>
      <c r="J149" s="40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 ht="12.75" customHeight="1">
      <c r="A150" s="39"/>
      <c r="B150" s="40"/>
      <c r="C150" s="39"/>
      <c r="D150" s="39"/>
      <c r="E150" s="39"/>
      <c r="F150" s="39"/>
      <c r="G150" s="39"/>
      <c r="H150" s="40"/>
      <c r="I150" s="40"/>
      <c r="J150" s="40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 ht="12.75" customHeight="1">
      <c r="A151" s="39"/>
      <c r="B151" s="40"/>
      <c r="C151" s="39"/>
      <c r="D151" s="39"/>
      <c r="E151" s="39"/>
      <c r="F151" s="39"/>
      <c r="G151" s="39"/>
      <c r="H151" s="40"/>
      <c r="I151" s="40"/>
      <c r="J151" s="40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 ht="12.75" customHeight="1">
      <c r="A152" s="39"/>
      <c r="B152" s="40"/>
      <c r="C152" s="39"/>
      <c r="D152" s="39"/>
      <c r="E152" s="39"/>
      <c r="F152" s="39"/>
      <c r="G152" s="39"/>
      <c r="H152" s="40"/>
      <c r="I152" s="40"/>
      <c r="J152" s="40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 ht="12.75" customHeight="1">
      <c r="A153" s="39"/>
      <c r="B153" s="40"/>
      <c r="C153" s="39"/>
      <c r="D153" s="39"/>
      <c r="E153" s="39"/>
      <c r="F153" s="39"/>
      <c r="G153" s="39"/>
      <c r="H153" s="40"/>
      <c r="I153" s="40"/>
      <c r="J153" s="40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 ht="12.75" customHeight="1">
      <c r="A154" s="39"/>
      <c r="B154" s="40"/>
      <c r="C154" s="39"/>
      <c r="D154" s="39"/>
      <c r="E154" s="39"/>
      <c r="F154" s="39"/>
      <c r="G154" s="39"/>
      <c r="H154" s="40"/>
      <c r="I154" s="40"/>
      <c r="J154" s="40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 ht="12.75" customHeight="1">
      <c r="A155" s="39"/>
      <c r="B155" s="40"/>
      <c r="C155" s="39"/>
      <c r="D155" s="39"/>
      <c r="E155" s="39"/>
      <c r="F155" s="39"/>
      <c r="G155" s="39"/>
      <c r="H155" s="40"/>
      <c r="I155" s="40"/>
      <c r="J155" s="40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 ht="12.75" customHeight="1">
      <c r="A156" s="39"/>
      <c r="B156" s="40"/>
      <c r="C156" s="39"/>
      <c r="D156" s="39"/>
      <c r="E156" s="39"/>
      <c r="F156" s="39"/>
      <c r="G156" s="39"/>
      <c r="H156" s="40"/>
      <c r="I156" s="40"/>
      <c r="J156" s="40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 ht="12.75" customHeight="1">
      <c r="A157" s="39"/>
      <c r="B157" s="40"/>
      <c r="C157" s="39"/>
      <c r="D157" s="39"/>
      <c r="E157" s="39"/>
      <c r="F157" s="39"/>
      <c r="G157" s="39"/>
      <c r="H157" s="40"/>
      <c r="I157" s="40"/>
      <c r="J157" s="40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 ht="12.75" customHeight="1">
      <c r="A158" s="39"/>
      <c r="B158" s="40"/>
      <c r="C158" s="39"/>
      <c r="D158" s="39"/>
      <c r="E158" s="39"/>
      <c r="F158" s="39"/>
      <c r="G158" s="39"/>
      <c r="H158" s="40"/>
      <c r="I158" s="40"/>
      <c r="J158" s="40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 ht="12.75" customHeight="1">
      <c r="A159" s="39"/>
      <c r="B159" s="40"/>
      <c r="C159" s="39"/>
      <c r="D159" s="39"/>
      <c r="E159" s="39"/>
      <c r="F159" s="39"/>
      <c r="G159" s="39"/>
      <c r="H159" s="40"/>
      <c r="I159" s="40"/>
      <c r="J159" s="40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 ht="12.75" customHeight="1">
      <c r="A160" s="39"/>
      <c r="B160" s="40"/>
      <c r="C160" s="39"/>
      <c r="D160" s="39"/>
      <c r="E160" s="39"/>
      <c r="F160" s="39"/>
      <c r="G160" s="39"/>
      <c r="H160" s="40"/>
      <c r="I160" s="40"/>
      <c r="J160" s="40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 ht="12.75" customHeight="1">
      <c r="A161" s="39"/>
      <c r="B161" s="40"/>
      <c r="C161" s="39"/>
      <c r="D161" s="39"/>
      <c r="E161" s="39"/>
      <c r="F161" s="39"/>
      <c r="G161" s="39"/>
      <c r="H161" s="40"/>
      <c r="I161" s="40"/>
      <c r="J161" s="40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 ht="12.75" customHeight="1">
      <c r="A162" s="39"/>
      <c r="B162" s="40"/>
      <c r="C162" s="39"/>
      <c r="D162" s="39"/>
      <c r="E162" s="39"/>
      <c r="F162" s="39"/>
      <c r="G162" s="39"/>
      <c r="H162" s="40"/>
      <c r="I162" s="40"/>
      <c r="J162" s="40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 ht="12.75" customHeight="1">
      <c r="A163" s="39"/>
      <c r="B163" s="40"/>
      <c r="C163" s="39"/>
      <c r="D163" s="39"/>
      <c r="E163" s="39"/>
      <c r="F163" s="39"/>
      <c r="G163" s="39"/>
      <c r="H163" s="40"/>
      <c r="I163" s="40"/>
      <c r="J163" s="40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 ht="12.75" customHeight="1">
      <c r="A164" s="39"/>
      <c r="B164" s="40"/>
      <c r="C164" s="39"/>
      <c r="D164" s="39"/>
      <c r="E164" s="39"/>
      <c r="F164" s="39"/>
      <c r="G164" s="39"/>
      <c r="H164" s="40"/>
      <c r="I164" s="40"/>
      <c r="J164" s="40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 ht="12.75" customHeight="1">
      <c r="A165" s="39"/>
      <c r="B165" s="40"/>
      <c r="C165" s="39"/>
      <c r="D165" s="39"/>
      <c r="E165" s="39"/>
      <c r="F165" s="39"/>
      <c r="G165" s="39"/>
      <c r="H165" s="40"/>
      <c r="I165" s="40"/>
      <c r="J165" s="40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 ht="12.75" customHeight="1">
      <c r="A166" s="39"/>
      <c r="B166" s="40"/>
      <c r="C166" s="39"/>
      <c r="D166" s="39"/>
      <c r="E166" s="39"/>
      <c r="F166" s="39"/>
      <c r="G166" s="39"/>
      <c r="H166" s="40"/>
      <c r="I166" s="40"/>
      <c r="J166" s="40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 ht="12.75" customHeight="1">
      <c r="A167" s="39"/>
      <c r="B167" s="40"/>
      <c r="C167" s="39"/>
      <c r="D167" s="39"/>
      <c r="E167" s="39"/>
      <c r="F167" s="39"/>
      <c r="G167" s="39"/>
      <c r="H167" s="40"/>
      <c r="I167" s="40"/>
      <c r="J167" s="40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 ht="12.75" customHeight="1">
      <c r="A168" s="39"/>
      <c r="B168" s="40"/>
      <c r="C168" s="39"/>
      <c r="D168" s="39"/>
      <c r="E168" s="39"/>
      <c r="F168" s="39"/>
      <c r="G168" s="39"/>
      <c r="H168" s="40"/>
      <c r="I168" s="40"/>
      <c r="J168" s="40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 ht="12.75" customHeight="1">
      <c r="A169" s="39"/>
      <c r="B169" s="40"/>
      <c r="C169" s="39"/>
      <c r="D169" s="39"/>
      <c r="E169" s="39"/>
      <c r="F169" s="39"/>
      <c r="G169" s="39"/>
      <c r="H169" s="40"/>
      <c r="I169" s="40"/>
      <c r="J169" s="40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 ht="12.75" customHeight="1">
      <c r="A170" s="39"/>
      <c r="B170" s="40"/>
      <c r="C170" s="39"/>
      <c r="D170" s="39"/>
      <c r="E170" s="39"/>
      <c r="F170" s="39"/>
      <c r="G170" s="39"/>
      <c r="H170" s="40"/>
      <c r="I170" s="40"/>
      <c r="J170" s="40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 ht="12.75" customHeight="1">
      <c r="A171" s="39"/>
      <c r="B171" s="40"/>
      <c r="C171" s="39"/>
      <c r="D171" s="39"/>
      <c r="E171" s="39"/>
      <c r="F171" s="39"/>
      <c r="G171" s="39"/>
      <c r="H171" s="40"/>
      <c r="I171" s="40"/>
      <c r="J171" s="40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 ht="12.75" customHeight="1">
      <c r="A172" s="39"/>
      <c r="B172" s="40"/>
      <c r="C172" s="39"/>
      <c r="D172" s="39"/>
      <c r="E172" s="39"/>
      <c r="F172" s="39"/>
      <c r="G172" s="39"/>
      <c r="H172" s="40"/>
      <c r="I172" s="40"/>
      <c r="J172" s="40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 ht="12.75" customHeight="1">
      <c r="A173" s="39"/>
      <c r="B173" s="40"/>
      <c r="C173" s="39"/>
      <c r="D173" s="39"/>
      <c r="E173" s="39"/>
      <c r="F173" s="39"/>
      <c r="G173" s="39"/>
      <c r="H173" s="40"/>
      <c r="I173" s="40"/>
      <c r="J173" s="40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 ht="12.75" customHeight="1">
      <c r="A174" s="39"/>
      <c r="B174" s="40"/>
      <c r="C174" s="39"/>
      <c r="D174" s="39"/>
      <c r="E174" s="39"/>
      <c r="F174" s="39"/>
      <c r="G174" s="39"/>
      <c r="H174" s="40"/>
      <c r="I174" s="40"/>
      <c r="J174" s="40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 ht="12.75" customHeight="1">
      <c r="A175" s="39"/>
      <c r="B175" s="40"/>
      <c r="C175" s="39"/>
      <c r="D175" s="39"/>
      <c r="E175" s="39"/>
      <c r="F175" s="39"/>
      <c r="G175" s="39"/>
      <c r="H175" s="40"/>
      <c r="I175" s="40"/>
      <c r="J175" s="40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 ht="12.75" customHeight="1">
      <c r="A176" s="39"/>
      <c r="B176" s="40"/>
      <c r="C176" s="39"/>
      <c r="D176" s="39"/>
      <c r="E176" s="39"/>
      <c r="F176" s="39"/>
      <c r="G176" s="39"/>
      <c r="H176" s="40"/>
      <c r="I176" s="40"/>
      <c r="J176" s="40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 ht="12.75" customHeight="1">
      <c r="A177" s="39"/>
      <c r="B177" s="40"/>
      <c r="C177" s="39"/>
      <c r="D177" s="39"/>
      <c r="E177" s="39"/>
      <c r="F177" s="39"/>
      <c r="G177" s="39"/>
      <c r="H177" s="40"/>
      <c r="I177" s="40"/>
      <c r="J177" s="40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 ht="12.75" customHeight="1">
      <c r="A178" s="39"/>
      <c r="B178" s="40"/>
      <c r="C178" s="39"/>
      <c r="D178" s="39"/>
      <c r="E178" s="39"/>
      <c r="F178" s="39"/>
      <c r="G178" s="39"/>
      <c r="H178" s="40"/>
      <c r="I178" s="40"/>
      <c r="J178" s="40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 ht="12.75" customHeight="1">
      <c r="A179" s="39"/>
      <c r="B179" s="40"/>
      <c r="C179" s="39"/>
      <c r="D179" s="39"/>
      <c r="E179" s="39"/>
      <c r="F179" s="39"/>
      <c r="G179" s="39"/>
      <c r="H179" s="40"/>
      <c r="I179" s="40"/>
      <c r="J179" s="40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 ht="12.75" customHeight="1">
      <c r="A180" s="39"/>
      <c r="B180" s="40"/>
      <c r="C180" s="39"/>
      <c r="D180" s="39"/>
      <c r="E180" s="39"/>
      <c r="F180" s="39"/>
      <c r="G180" s="39"/>
      <c r="H180" s="40"/>
      <c r="I180" s="40"/>
      <c r="J180" s="40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 ht="12.75" customHeight="1">
      <c r="A181" s="39"/>
      <c r="B181" s="40"/>
      <c r="C181" s="39"/>
      <c r="D181" s="39"/>
      <c r="E181" s="39"/>
      <c r="F181" s="39"/>
      <c r="G181" s="39"/>
      <c r="H181" s="40"/>
      <c r="I181" s="40"/>
      <c r="J181" s="40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 ht="12.75" customHeight="1">
      <c r="A182" s="39"/>
      <c r="B182" s="40"/>
      <c r="C182" s="39"/>
      <c r="D182" s="39"/>
      <c r="E182" s="39"/>
      <c r="F182" s="39"/>
      <c r="G182" s="39"/>
      <c r="H182" s="40"/>
      <c r="I182" s="40"/>
      <c r="J182" s="40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 ht="12.75" customHeight="1">
      <c r="A183" s="39"/>
      <c r="B183" s="40"/>
      <c r="C183" s="39"/>
      <c r="D183" s="39"/>
      <c r="E183" s="39"/>
      <c r="F183" s="39"/>
      <c r="G183" s="39"/>
      <c r="H183" s="40"/>
      <c r="I183" s="40"/>
      <c r="J183" s="40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 ht="12.75" customHeight="1">
      <c r="A184" s="39"/>
      <c r="B184" s="40"/>
      <c r="C184" s="39"/>
      <c r="D184" s="39"/>
      <c r="E184" s="39"/>
      <c r="F184" s="39"/>
      <c r="G184" s="39"/>
      <c r="H184" s="40"/>
      <c r="I184" s="40"/>
      <c r="J184" s="40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 ht="12.75" customHeight="1">
      <c r="A185" s="39"/>
      <c r="B185" s="40"/>
      <c r="C185" s="39"/>
      <c r="D185" s="39"/>
      <c r="E185" s="39"/>
      <c r="F185" s="39"/>
      <c r="G185" s="39"/>
      <c r="H185" s="40"/>
      <c r="I185" s="40"/>
      <c r="J185" s="40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 ht="12.75" customHeight="1">
      <c r="A186" s="39"/>
      <c r="B186" s="40"/>
      <c r="C186" s="39"/>
      <c r="D186" s="39"/>
      <c r="E186" s="39"/>
      <c r="F186" s="39"/>
      <c r="G186" s="39"/>
      <c r="H186" s="40"/>
      <c r="I186" s="40"/>
      <c r="J186" s="40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 ht="12.75" customHeight="1">
      <c r="A187" s="39"/>
      <c r="B187" s="40"/>
      <c r="C187" s="39"/>
      <c r="D187" s="39"/>
      <c r="E187" s="39"/>
      <c r="F187" s="39"/>
      <c r="G187" s="39"/>
      <c r="H187" s="40"/>
      <c r="I187" s="40"/>
      <c r="J187" s="40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 ht="12.75" customHeight="1">
      <c r="A188" s="39"/>
      <c r="B188" s="40"/>
      <c r="C188" s="39"/>
      <c r="D188" s="39"/>
      <c r="E188" s="39"/>
      <c r="F188" s="39"/>
      <c r="G188" s="39"/>
      <c r="H188" s="40"/>
      <c r="I188" s="40"/>
      <c r="J188" s="40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 ht="12.75" customHeight="1">
      <c r="A189" s="39"/>
      <c r="B189" s="40"/>
      <c r="C189" s="39"/>
      <c r="D189" s="39"/>
      <c r="E189" s="39"/>
      <c r="F189" s="39"/>
      <c r="G189" s="39"/>
      <c r="H189" s="40"/>
      <c r="I189" s="40"/>
      <c r="J189" s="40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 ht="12.75" customHeight="1">
      <c r="A190" s="39"/>
      <c r="B190" s="40"/>
      <c r="C190" s="39"/>
      <c r="D190" s="39"/>
      <c r="E190" s="39"/>
      <c r="F190" s="39"/>
      <c r="G190" s="39"/>
      <c r="H190" s="40"/>
      <c r="I190" s="40"/>
      <c r="J190" s="40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 ht="12.75" customHeight="1">
      <c r="A191" s="39"/>
      <c r="B191" s="40"/>
      <c r="C191" s="39"/>
      <c r="D191" s="39"/>
      <c r="E191" s="39"/>
      <c r="F191" s="39"/>
      <c r="G191" s="39"/>
      <c r="H191" s="40"/>
      <c r="I191" s="40"/>
      <c r="J191" s="40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 ht="12.75" customHeight="1">
      <c r="A192" s="39"/>
      <c r="B192" s="40"/>
      <c r="C192" s="39"/>
      <c r="D192" s="39"/>
      <c r="E192" s="39"/>
      <c r="F192" s="39"/>
      <c r="G192" s="39"/>
      <c r="H192" s="40"/>
      <c r="I192" s="40"/>
      <c r="J192" s="40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 ht="12.75" customHeight="1">
      <c r="A193" s="39"/>
      <c r="B193" s="40"/>
      <c r="C193" s="39"/>
      <c r="D193" s="39"/>
      <c r="E193" s="39"/>
      <c r="F193" s="39"/>
      <c r="G193" s="39"/>
      <c r="H193" s="40"/>
      <c r="I193" s="40"/>
      <c r="J193" s="40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 ht="12.75" customHeight="1">
      <c r="A194" s="39"/>
      <c r="B194" s="40"/>
      <c r="C194" s="39"/>
      <c r="D194" s="39"/>
      <c r="E194" s="39"/>
      <c r="F194" s="39"/>
      <c r="G194" s="39"/>
      <c r="H194" s="40"/>
      <c r="I194" s="40"/>
      <c r="J194" s="40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 ht="12.75" customHeight="1">
      <c r="A195" s="39"/>
      <c r="B195" s="40"/>
      <c r="C195" s="39"/>
      <c r="D195" s="39"/>
      <c r="E195" s="39"/>
      <c r="F195" s="39"/>
      <c r="G195" s="39"/>
      <c r="H195" s="40"/>
      <c r="I195" s="40"/>
      <c r="J195" s="40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 ht="12.75" customHeight="1">
      <c r="A196" s="39"/>
      <c r="B196" s="40"/>
      <c r="C196" s="39"/>
      <c r="D196" s="39"/>
      <c r="E196" s="39"/>
      <c r="F196" s="39"/>
      <c r="G196" s="39"/>
      <c r="H196" s="40"/>
      <c r="I196" s="40"/>
      <c r="J196" s="40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 ht="12.75" customHeight="1">
      <c r="A197" s="39"/>
      <c r="B197" s="40"/>
      <c r="C197" s="39"/>
      <c r="D197" s="39"/>
      <c r="E197" s="39"/>
      <c r="F197" s="39"/>
      <c r="G197" s="39"/>
      <c r="H197" s="40"/>
      <c r="I197" s="40"/>
      <c r="J197" s="40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 ht="12.75" customHeight="1">
      <c r="A198" s="39"/>
      <c r="B198" s="40"/>
      <c r="C198" s="39"/>
      <c r="D198" s="39"/>
      <c r="E198" s="39"/>
      <c r="F198" s="39"/>
      <c r="G198" s="39"/>
      <c r="H198" s="40"/>
      <c r="I198" s="40"/>
      <c r="J198" s="40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 ht="12.75" customHeight="1">
      <c r="A199" s="39"/>
      <c r="B199" s="40"/>
      <c r="C199" s="39"/>
      <c r="D199" s="39"/>
      <c r="E199" s="39"/>
      <c r="F199" s="39"/>
      <c r="G199" s="39"/>
      <c r="H199" s="40"/>
      <c r="I199" s="40"/>
      <c r="J199" s="40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 ht="12.75" customHeight="1">
      <c r="A200" s="39"/>
      <c r="B200" s="40"/>
      <c r="C200" s="39"/>
      <c r="D200" s="39"/>
      <c r="E200" s="39"/>
      <c r="F200" s="39"/>
      <c r="G200" s="39"/>
      <c r="H200" s="40"/>
      <c r="I200" s="40"/>
      <c r="J200" s="40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 ht="12.75" customHeight="1">
      <c r="A201" s="39"/>
      <c r="B201" s="40"/>
      <c r="C201" s="39"/>
      <c r="D201" s="39"/>
      <c r="E201" s="39"/>
      <c r="F201" s="39"/>
      <c r="G201" s="39"/>
      <c r="H201" s="40"/>
      <c r="I201" s="40"/>
      <c r="J201" s="40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</row>
    <row r="202" ht="12.75" customHeight="1">
      <c r="A202" s="39"/>
      <c r="B202" s="40"/>
      <c r="C202" s="39"/>
      <c r="D202" s="39"/>
      <c r="E202" s="39"/>
      <c r="F202" s="39"/>
      <c r="G202" s="39"/>
      <c r="H202" s="40"/>
      <c r="I202" s="40"/>
      <c r="J202" s="40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</row>
    <row r="203" ht="12.75" customHeight="1">
      <c r="A203" s="39"/>
      <c r="B203" s="40"/>
      <c r="C203" s="39"/>
      <c r="D203" s="39"/>
      <c r="E203" s="39"/>
      <c r="F203" s="39"/>
      <c r="G203" s="39"/>
      <c r="H203" s="40"/>
      <c r="I203" s="40"/>
      <c r="J203" s="40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</row>
    <row r="204" ht="12.75" customHeight="1">
      <c r="A204" s="39"/>
      <c r="B204" s="40"/>
      <c r="C204" s="39"/>
      <c r="D204" s="39"/>
      <c r="E204" s="39"/>
      <c r="F204" s="39"/>
      <c r="G204" s="39"/>
      <c r="H204" s="40"/>
      <c r="I204" s="40"/>
      <c r="J204" s="40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</row>
    <row r="205" ht="12.75" customHeight="1">
      <c r="A205" s="39"/>
      <c r="B205" s="40"/>
      <c r="C205" s="39"/>
      <c r="D205" s="39"/>
      <c r="E205" s="39"/>
      <c r="F205" s="39"/>
      <c r="G205" s="39"/>
      <c r="H205" s="40"/>
      <c r="I205" s="40"/>
      <c r="J205" s="40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</row>
    <row r="206" ht="12.75" customHeight="1">
      <c r="A206" s="39"/>
      <c r="B206" s="40"/>
      <c r="C206" s="39"/>
      <c r="D206" s="39"/>
      <c r="E206" s="39"/>
      <c r="F206" s="39"/>
      <c r="G206" s="39"/>
      <c r="H206" s="40"/>
      <c r="I206" s="40"/>
      <c r="J206" s="40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</row>
    <row r="207" ht="12.75" customHeight="1">
      <c r="A207" s="39"/>
      <c r="B207" s="40"/>
      <c r="C207" s="39"/>
      <c r="D207" s="39"/>
      <c r="E207" s="39"/>
      <c r="F207" s="39"/>
      <c r="G207" s="39"/>
      <c r="H207" s="40"/>
      <c r="I207" s="40"/>
      <c r="J207" s="40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</row>
    <row r="208" ht="12.75" customHeight="1">
      <c r="A208" s="39"/>
      <c r="B208" s="40"/>
      <c r="C208" s="39"/>
      <c r="D208" s="39"/>
      <c r="E208" s="39"/>
      <c r="F208" s="39"/>
      <c r="G208" s="39"/>
      <c r="H208" s="40"/>
      <c r="I208" s="40"/>
      <c r="J208" s="40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</row>
    <row r="209" ht="12.75" customHeight="1">
      <c r="A209" s="39"/>
      <c r="B209" s="40"/>
      <c r="C209" s="39"/>
      <c r="D209" s="39"/>
      <c r="E209" s="39"/>
      <c r="F209" s="39"/>
      <c r="G209" s="39"/>
      <c r="H209" s="40"/>
      <c r="I209" s="40"/>
      <c r="J209" s="40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</row>
    <row r="210" ht="12.75" customHeight="1">
      <c r="A210" s="39"/>
      <c r="B210" s="40"/>
      <c r="C210" s="39"/>
      <c r="D210" s="39"/>
      <c r="E210" s="39"/>
      <c r="F210" s="39"/>
      <c r="G210" s="39"/>
      <c r="H210" s="40"/>
      <c r="I210" s="40"/>
      <c r="J210" s="40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</row>
    <row r="211" ht="12.75" customHeight="1">
      <c r="A211" s="39"/>
      <c r="B211" s="40"/>
      <c r="C211" s="39"/>
      <c r="D211" s="39"/>
      <c r="E211" s="39"/>
      <c r="F211" s="39"/>
      <c r="G211" s="39"/>
      <c r="H211" s="40"/>
      <c r="I211" s="40"/>
      <c r="J211" s="40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</row>
    <row r="212" ht="12.75" customHeight="1">
      <c r="A212" s="39"/>
      <c r="B212" s="40"/>
      <c r="C212" s="39"/>
      <c r="D212" s="39"/>
      <c r="E212" s="39"/>
      <c r="F212" s="39"/>
      <c r="G212" s="39"/>
      <c r="H212" s="40"/>
      <c r="I212" s="40"/>
      <c r="J212" s="40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</row>
    <row r="213" ht="12.75" customHeight="1">
      <c r="A213" s="39"/>
      <c r="B213" s="40"/>
      <c r="C213" s="39"/>
      <c r="D213" s="39"/>
      <c r="E213" s="39"/>
      <c r="F213" s="39"/>
      <c r="G213" s="39"/>
      <c r="H213" s="40"/>
      <c r="I213" s="40"/>
      <c r="J213" s="40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</row>
    <row r="214" ht="12.75" customHeight="1">
      <c r="A214" s="39"/>
      <c r="B214" s="40"/>
      <c r="C214" s="39"/>
      <c r="D214" s="39"/>
      <c r="E214" s="39"/>
      <c r="F214" s="39"/>
      <c r="G214" s="39"/>
      <c r="H214" s="40"/>
      <c r="I214" s="40"/>
      <c r="J214" s="40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</row>
    <row r="231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</row>
    <row r="232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</row>
    <row r="233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</row>
    <row r="234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</row>
    <row r="235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</row>
    <row r="236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</row>
    <row r="237" ht="15.7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</row>
    <row r="238" ht="15.7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</row>
    <row r="239" ht="15.7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</row>
    <row r="240" ht="15.7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</row>
    <row r="241" ht="15.7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</row>
    <row r="242" ht="15.7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</row>
    <row r="243" ht="15.7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</row>
    <row r="244" ht="15.7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</row>
    <row r="245" ht="15.75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</row>
    <row r="246" ht="15.7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</row>
    <row r="247" ht="15.75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</row>
    <row r="248" ht="15.7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</row>
    <row r="249" ht="15.75" customHeight="1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</row>
    <row r="250" ht="15.75" customHeight="1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</row>
    <row r="251" ht="15.75" customHeight="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</row>
    <row r="252" ht="15.75" customHeight="1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</row>
    <row r="253" ht="15.75" customHeight="1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</row>
    <row r="254" ht="15.75" customHeight="1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</row>
    <row r="255" ht="15.75" customHeight="1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</row>
    <row r="256" ht="15.75" customHeight="1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</row>
    <row r="257" ht="15.75" customHeight="1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</row>
    <row r="258" ht="15.75" customHeight="1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</row>
    <row r="259" ht="15.75" customHeight="1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</row>
    <row r="260" ht="15.75" customHeight="1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</row>
    <row r="261" ht="15.75" customHeight="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</row>
    <row r="262" ht="15.75" customHeight="1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</row>
    <row r="263" ht="15.75" customHeight="1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</row>
    <row r="264" ht="15.75" customHeight="1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</row>
    <row r="265" ht="15.75" customHeight="1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</row>
    <row r="266" ht="15.75" customHeight="1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</row>
    <row r="267" ht="15.75" customHeight="1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</row>
    <row r="268" ht="15.75" customHeight="1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</row>
    <row r="269" ht="15.75" customHeight="1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</row>
    <row r="270" ht="15.75" customHeight="1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</row>
    <row r="271" ht="15.75" customHeight="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</row>
    <row r="272" ht="15.75" customHeight="1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</row>
    <row r="273" ht="15.75" customHeight="1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</row>
    <row r="274" ht="15.75" customHeight="1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</row>
    <row r="275" ht="15.75" customHeight="1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</row>
    <row r="276" ht="15.75" customHeight="1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</row>
    <row r="277" ht="15.75" customHeight="1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</row>
    <row r="278" ht="15.75" customHeight="1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</row>
    <row r="279" ht="15.75" customHeight="1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</row>
    <row r="280" ht="15.75" customHeight="1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</row>
    <row r="281" ht="15.75" customHeight="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</row>
    <row r="282" ht="15.75" customHeight="1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</row>
    <row r="283" ht="15.75" customHeight="1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</row>
    <row r="284" ht="15.75" customHeight="1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</row>
    <row r="285" ht="15.75" customHeight="1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</row>
    <row r="286" ht="15.75" customHeight="1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</row>
    <row r="287" ht="15.75" customHeight="1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</row>
    <row r="288" ht="15.75" customHeight="1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</row>
    <row r="289" ht="15.75" customHeight="1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</row>
    <row r="290" ht="15.75" customHeight="1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</row>
    <row r="291" ht="15.75" customHeight="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</row>
    <row r="292" ht="15.75" customHeight="1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</row>
    <row r="293" ht="15.75" customHeight="1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</row>
    <row r="294" ht="15.75" customHeight="1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</row>
    <row r="295" ht="15.75" customHeight="1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</row>
    <row r="296" ht="15.75" customHeight="1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</row>
    <row r="297" ht="15.75" customHeight="1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</row>
    <row r="298" ht="15.75" customHeight="1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</row>
    <row r="299" ht="15.75" customHeight="1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</row>
    <row r="300" ht="15.75" customHeight="1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</row>
    <row r="301" ht="15.75" customHeight="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</row>
    <row r="302" ht="15.75" customHeight="1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</row>
    <row r="303" ht="15.75" customHeight="1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</row>
    <row r="304" ht="15.75" customHeight="1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</row>
    <row r="305" ht="15.75" customHeight="1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</row>
    <row r="306" ht="15.75" customHeight="1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</row>
    <row r="307" ht="15.75" customHeight="1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</row>
    <row r="308" ht="15.75" customHeight="1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</row>
    <row r="309" ht="15.75" customHeight="1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</row>
    <row r="310" ht="15.75" customHeight="1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</row>
    <row r="311" ht="15.75" customHeight="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</row>
    <row r="312" ht="15.75" customHeight="1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</row>
    <row r="313" ht="15.75" customHeight="1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</row>
    <row r="314" ht="15.75" customHeight="1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</row>
    <row r="315" ht="15.75" customHeight="1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</row>
    <row r="316" ht="15.75" customHeight="1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</row>
    <row r="317" ht="15.75" customHeight="1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</row>
    <row r="318" ht="15.75" customHeight="1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</row>
    <row r="319" ht="15.75" customHeight="1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</row>
    <row r="320" ht="15.75" customHeight="1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</row>
    <row r="321" ht="15.75" customHeight="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</row>
    <row r="322" ht="15.75" customHeight="1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</row>
    <row r="323" ht="15.75" customHeight="1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</row>
    <row r="324" ht="15.75" customHeight="1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</row>
    <row r="325" ht="15.75" customHeight="1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</row>
    <row r="326" ht="15.75" customHeight="1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</row>
    <row r="327" ht="15.75" customHeight="1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</row>
    <row r="328" ht="15.75" customHeight="1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</row>
    <row r="329" ht="15.75" customHeight="1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</row>
    <row r="330" ht="15.75" customHeight="1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</row>
    <row r="331" ht="15.75" customHeight="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</row>
    <row r="332" ht="15.75" customHeight="1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</row>
    <row r="333" ht="15.75" customHeight="1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</row>
    <row r="334" ht="15.75" customHeight="1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</row>
    <row r="335" ht="15.75" customHeight="1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</row>
    <row r="336" ht="15.75" customHeight="1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</row>
    <row r="337" ht="15.75" customHeight="1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</row>
    <row r="338" ht="15.75" customHeight="1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</row>
    <row r="339" ht="15.75" customHeight="1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</row>
    <row r="340" ht="15.75" customHeight="1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</row>
    <row r="341" ht="15.75" customHeight="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</row>
    <row r="342" ht="15.75" customHeight="1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</row>
    <row r="343" ht="15.75" customHeight="1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</row>
    <row r="344" ht="15.75" customHeight="1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</row>
    <row r="345" ht="15.75" customHeight="1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</row>
    <row r="346" ht="15.75" customHeight="1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</row>
    <row r="347" ht="15.75" customHeight="1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</row>
    <row r="348" ht="15.75" customHeight="1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</row>
    <row r="349" ht="15.75" customHeight="1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</row>
    <row r="350" ht="15.75" customHeight="1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</row>
    <row r="351" ht="15.75" customHeight="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</row>
    <row r="352" ht="15.75" customHeight="1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</row>
    <row r="353" ht="15.75" customHeight="1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</row>
    <row r="354" ht="15.75" customHeight="1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</row>
    <row r="355" ht="15.75" customHeight="1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</row>
    <row r="356" ht="15.75" customHeight="1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</row>
    <row r="357" ht="15.75" customHeight="1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</row>
    <row r="358" ht="15.75" customHeight="1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</row>
    <row r="359" ht="15.75" customHeight="1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</row>
    <row r="360" ht="15.75" customHeight="1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</row>
    <row r="361" ht="15.75" customHeight="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</row>
    <row r="362" ht="15.75" customHeight="1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</row>
    <row r="363" ht="15.75" customHeight="1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</row>
    <row r="364" ht="15.75" customHeight="1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</row>
    <row r="365" ht="15.75" customHeight="1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</row>
    <row r="366" ht="15.75" customHeight="1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</row>
    <row r="367" ht="15.75" customHeight="1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</row>
    <row r="368" ht="15.75" customHeight="1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</row>
    <row r="369" ht="15.75" customHeight="1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</row>
    <row r="370" ht="15.75" customHeight="1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</row>
    <row r="371" ht="15.75" customHeight="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</row>
    <row r="372" ht="15.75" customHeight="1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</row>
    <row r="373" ht="15.75" customHeight="1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</row>
    <row r="374" ht="15.75" customHeight="1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</row>
    <row r="375" ht="15.75" customHeight="1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</row>
    <row r="376" ht="15.75" customHeight="1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</row>
    <row r="377" ht="15.75" customHeight="1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</row>
    <row r="378" ht="15.75" customHeight="1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</row>
    <row r="379" ht="15.75" customHeight="1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</row>
    <row r="380" ht="15.75" customHeight="1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</row>
    <row r="381" ht="15.75" customHeight="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</row>
    <row r="382" ht="15.75" customHeight="1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</row>
    <row r="383" ht="15.75" customHeight="1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</row>
    <row r="384" ht="15.75" customHeight="1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</row>
    <row r="385" ht="15.75" customHeight="1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</row>
    <row r="386" ht="15.75" customHeight="1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</row>
    <row r="387" ht="15.75" customHeight="1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</row>
    <row r="388" ht="15.75" customHeight="1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</row>
    <row r="389" ht="15.75" customHeight="1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</row>
    <row r="390" ht="15.75" customHeight="1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</row>
    <row r="391" ht="15.75" customHeight="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</row>
    <row r="392" ht="15.75" customHeight="1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</row>
    <row r="393" ht="15.75" customHeight="1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</row>
    <row r="394" ht="15.75" customHeight="1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</row>
    <row r="395" ht="15.75" customHeight="1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</row>
    <row r="396" ht="15.75" customHeight="1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</row>
    <row r="397" ht="15.75" customHeight="1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</row>
    <row r="398" ht="15.75" customHeight="1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</row>
    <row r="399" ht="15.75" customHeight="1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</row>
    <row r="400" ht="15.75" customHeight="1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</row>
    <row r="401" ht="15.75" customHeight="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</row>
    <row r="402" ht="15.75" customHeight="1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</row>
    <row r="403" ht="15.75" customHeight="1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</row>
    <row r="404" ht="15.75" customHeight="1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</row>
    <row r="405" ht="15.75" customHeight="1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</row>
    <row r="406" ht="15.75" customHeight="1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</row>
    <row r="407" ht="15.75" customHeight="1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</row>
    <row r="408" ht="15.75" customHeight="1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</row>
    <row r="409" ht="15.75" customHeight="1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</row>
    <row r="410" ht="15.75" customHeight="1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</row>
    <row r="411" ht="15.75" customHeight="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</row>
    <row r="412" ht="15.75" customHeight="1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</row>
    <row r="413" ht="15.75" customHeight="1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</row>
    <row r="414" ht="15.75" customHeight="1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</row>
    <row r="415" ht="15.75" customHeight="1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</row>
    <row r="416" ht="15.75" customHeight="1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</row>
    <row r="417" ht="15.75" customHeight="1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</row>
    <row r="418" ht="15.75" customHeight="1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</row>
    <row r="419" ht="15.75" customHeight="1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</row>
    <row r="420" ht="15.75" customHeight="1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</row>
    <row r="421" ht="15.75" customHeight="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</row>
    <row r="422" ht="15.75" customHeight="1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</row>
    <row r="423" ht="15.75" customHeight="1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</row>
    <row r="424" ht="15.75" customHeight="1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</row>
    <row r="425" ht="15.75" customHeight="1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</row>
    <row r="426" ht="15.75" customHeight="1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</row>
    <row r="427" ht="15.75" customHeight="1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</row>
    <row r="428" ht="15.75" customHeight="1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</row>
    <row r="429" ht="15.75" customHeight="1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</row>
    <row r="430" ht="15.75" customHeight="1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</row>
    <row r="431" ht="15.75" customHeight="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</row>
    <row r="432" ht="15.75" customHeight="1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</row>
    <row r="433" ht="15.75" customHeight="1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</row>
    <row r="434" ht="15.75" customHeight="1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</row>
    <row r="435" ht="15.75" customHeight="1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</row>
    <row r="436" ht="15.75" customHeight="1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</row>
    <row r="437" ht="15.75" customHeight="1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</row>
    <row r="438" ht="15.75" customHeight="1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</row>
    <row r="439" ht="15.75" customHeight="1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</row>
    <row r="440" ht="15.75" customHeight="1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</row>
    <row r="441" ht="15.75" customHeight="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</row>
    <row r="442" ht="15.75" customHeight="1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</row>
    <row r="443" ht="15.75" customHeight="1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</row>
    <row r="444" ht="15.75" customHeight="1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</row>
    <row r="445" ht="15.75" customHeight="1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</row>
    <row r="446" ht="15.75" customHeight="1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</row>
    <row r="447" ht="15.75" customHeight="1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</row>
    <row r="448" ht="15.75" customHeight="1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</row>
    <row r="449" ht="15.75" customHeight="1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</row>
    <row r="450" ht="15.75" customHeight="1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</row>
    <row r="451" ht="15.75" customHeight="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</row>
    <row r="452" ht="15.75" customHeight="1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</row>
    <row r="453" ht="15.75" customHeight="1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</row>
    <row r="454" ht="15.75" customHeight="1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</row>
    <row r="455" ht="15.75" customHeight="1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</row>
    <row r="456" ht="15.75" customHeight="1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</row>
    <row r="457" ht="15.75" customHeight="1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</row>
    <row r="458" ht="15.75" customHeight="1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</row>
    <row r="459" ht="15.75" customHeight="1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</row>
    <row r="460" ht="15.75" customHeight="1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</row>
    <row r="461" ht="15.75" customHeight="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</row>
    <row r="462" ht="15.75" customHeight="1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</row>
    <row r="463" ht="15.75" customHeight="1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</row>
    <row r="464" ht="15.75" customHeight="1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</row>
    <row r="465" ht="15.75" customHeight="1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</row>
    <row r="466" ht="15.75" customHeight="1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</row>
    <row r="467" ht="15.75" customHeight="1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</row>
    <row r="468" ht="15.75" customHeight="1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</row>
    <row r="469" ht="15.75" customHeight="1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</row>
    <row r="470" ht="15.75" customHeight="1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</row>
    <row r="471" ht="15.75" customHeight="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</row>
    <row r="472" ht="15.75" customHeight="1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</row>
    <row r="473" ht="15.75" customHeight="1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</row>
    <row r="474" ht="15.75" customHeight="1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</row>
    <row r="475" ht="15.75" customHeight="1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</row>
    <row r="476" ht="15.75" customHeight="1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</row>
    <row r="477" ht="15.75" customHeight="1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</row>
    <row r="478" ht="15.75" customHeight="1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</row>
    <row r="479" ht="15.75" customHeight="1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</row>
    <row r="480" ht="15.75" customHeight="1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</row>
    <row r="481" ht="15.75" customHeight="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</row>
    <row r="482" ht="15.75" customHeight="1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</row>
    <row r="483" ht="15.75" customHeight="1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</row>
    <row r="484" ht="15.75" customHeight="1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</row>
    <row r="485" ht="15.75" customHeight="1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</row>
    <row r="486" ht="15.75" customHeight="1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</row>
    <row r="487" ht="15.75" customHeight="1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</row>
    <row r="488" ht="15.75" customHeight="1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</row>
    <row r="489" ht="15.75" customHeight="1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</row>
    <row r="490" ht="15.75" customHeight="1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</row>
    <row r="491" ht="15.75" customHeight="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</row>
    <row r="492" ht="15.75" customHeight="1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</row>
    <row r="493" ht="15.75" customHeight="1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</row>
    <row r="494" ht="15.75" customHeight="1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</row>
    <row r="495" ht="15.75" customHeight="1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</row>
    <row r="496" ht="15.75" customHeight="1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</row>
    <row r="497" ht="15.75" customHeight="1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</row>
    <row r="498" ht="15.75" customHeight="1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</row>
    <row r="499" ht="15.75" customHeight="1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</row>
    <row r="500" ht="15.75" customHeight="1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</row>
    <row r="501" ht="15.75" customHeight="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</row>
    <row r="502" ht="15.75" customHeight="1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</row>
    <row r="503" ht="15.75" customHeight="1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</row>
    <row r="504" ht="15.75" customHeight="1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</row>
    <row r="505" ht="15.75" customHeight="1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</row>
    <row r="506" ht="15.75" customHeight="1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</row>
    <row r="507" ht="15.75" customHeight="1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</row>
    <row r="508" ht="15.75" customHeight="1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</row>
    <row r="509" ht="15.75" customHeight="1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</row>
    <row r="510" ht="15.75" customHeight="1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</row>
    <row r="511" ht="15.75" customHeight="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</row>
    <row r="512" ht="15.75" customHeight="1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</row>
    <row r="513" ht="15.75" customHeight="1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</row>
    <row r="514" ht="15.75" customHeight="1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</row>
    <row r="515" ht="15.75" customHeight="1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</row>
    <row r="516" ht="15.75" customHeight="1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</row>
    <row r="517" ht="15.75" customHeight="1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</row>
    <row r="518" ht="15.75" customHeight="1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</row>
    <row r="519" ht="15.75" customHeight="1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</row>
    <row r="520" ht="15.75" customHeight="1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</row>
    <row r="521" ht="15.75" customHeight="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</row>
    <row r="522" ht="15.75" customHeight="1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</row>
    <row r="523" ht="15.75" customHeight="1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</row>
    <row r="524" ht="15.75" customHeight="1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</row>
    <row r="525" ht="15.75" customHeight="1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</row>
    <row r="526" ht="15.75" customHeight="1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</row>
    <row r="527" ht="15.75" customHeight="1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</row>
    <row r="528" ht="15.75" customHeight="1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</row>
    <row r="529" ht="15.75" customHeight="1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</row>
    <row r="530" ht="15.75" customHeight="1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</row>
    <row r="531" ht="15.75" customHeight="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</row>
    <row r="532" ht="15.75" customHeight="1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</row>
    <row r="533" ht="15.75" customHeight="1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</row>
    <row r="534" ht="15.75" customHeight="1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</row>
    <row r="535" ht="15.75" customHeight="1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</row>
    <row r="536" ht="15.75" customHeight="1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</row>
    <row r="537" ht="15.75" customHeight="1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</row>
    <row r="538" ht="15.75" customHeight="1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</row>
    <row r="539" ht="15.75" customHeight="1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</row>
    <row r="540" ht="15.75" customHeight="1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</row>
    <row r="541" ht="15.75" customHeight="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</row>
    <row r="542" ht="15.75" customHeight="1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</row>
    <row r="543" ht="15.75" customHeight="1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</row>
    <row r="544" ht="15.75" customHeight="1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</row>
    <row r="545" ht="15.75" customHeight="1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</row>
    <row r="546" ht="15.75" customHeight="1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</row>
    <row r="547" ht="15.75" customHeight="1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</row>
    <row r="548" ht="15.75" customHeight="1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</row>
    <row r="549" ht="15.75" customHeight="1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</row>
    <row r="550" ht="15.75" customHeight="1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</row>
    <row r="551" ht="15.75" customHeight="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</row>
    <row r="552" ht="15.75" customHeight="1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</row>
    <row r="553" ht="15.75" customHeight="1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</row>
    <row r="554" ht="15.75" customHeight="1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</row>
    <row r="555" ht="15.75" customHeight="1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</row>
    <row r="556" ht="15.75" customHeight="1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</row>
    <row r="557" ht="15.75" customHeight="1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</row>
    <row r="558" ht="15.75" customHeight="1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</row>
    <row r="559" ht="15.75" customHeight="1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</row>
    <row r="560" ht="15.75" customHeight="1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</row>
    <row r="561" ht="15.75" customHeight="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</row>
    <row r="562" ht="15.75" customHeight="1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</row>
    <row r="563" ht="15.75" customHeight="1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</row>
    <row r="564" ht="15.75" customHeight="1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</row>
    <row r="565" ht="15.75" customHeight="1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</row>
    <row r="566" ht="15.75" customHeight="1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</row>
    <row r="567" ht="15.75" customHeight="1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</row>
    <row r="568" ht="15.75" customHeight="1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</row>
    <row r="569" ht="15.75" customHeight="1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</row>
    <row r="570" ht="15.75" customHeight="1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</row>
    <row r="571" ht="15.75" customHeight="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</row>
    <row r="572" ht="15.75" customHeight="1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</row>
    <row r="573" ht="15.75" customHeight="1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</row>
    <row r="574" ht="15.75" customHeight="1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</row>
    <row r="575" ht="15.75" customHeight="1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</row>
    <row r="576" ht="15.75" customHeight="1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</row>
    <row r="577" ht="15.75" customHeight="1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</row>
    <row r="578" ht="15.75" customHeight="1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</row>
    <row r="579" ht="15.75" customHeight="1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</row>
    <row r="580" ht="15.75" customHeight="1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</row>
    <row r="581" ht="15.75" customHeight="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</row>
    <row r="582" ht="15.75" customHeight="1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</row>
    <row r="583" ht="15.75" customHeight="1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</row>
    <row r="584" ht="15.75" customHeight="1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</row>
    <row r="585" ht="15.75" customHeight="1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</row>
    <row r="586" ht="15.75" customHeight="1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</row>
    <row r="587" ht="15.75" customHeight="1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</row>
    <row r="588" ht="15.75" customHeight="1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</row>
    <row r="589" ht="15.75" customHeight="1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</row>
    <row r="590" ht="15.75" customHeight="1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</row>
    <row r="591" ht="15.75" customHeight="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</row>
    <row r="592" ht="15.75" customHeight="1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</row>
    <row r="593" ht="15.75" customHeight="1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</row>
    <row r="594" ht="15.75" customHeight="1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</row>
    <row r="595" ht="15.75" customHeight="1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</row>
    <row r="596" ht="15.75" customHeight="1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</row>
    <row r="597" ht="15.75" customHeight="1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</row>
    <row r="598" ht="15.75" customHeight="1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</row>
    <row r="599" ht="15.75" customHeight="1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</row>
    <row r="600" ht="15.75" customHeight="1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</row>
    <row r="601" ht="15.75" customHeight="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</row>
    <row r="602" ht="15.75" customHeight="1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</row>
    <row r="603" ht="15.75" customHeight="1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</row>
    <row r="604" ht="15.75" customHeight="1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</row>
    <row r="605" ht="15.75" customHeight="1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</row>
    <row r="606" ht="15.75" customHeight="1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</row>
    <row r="607" ht="15.75" customHeight="1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</row>
    <row r="608" ht="15.75" customHeight="1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</row>
    <row r="609" ht="15.75" customHeight="1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</row>
    <row r="610" ht="15.75" customHeight="1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</row>
    <row r="611" ht="15.75" customHeight="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</row>
    <row r="612" ht="15.75" customHeight="1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</row>
    <row r="613" ht="15.75" customHeight="1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</row>
    <row r="614" ht="15.75" customHeight="1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</row>
    <row r="615" ht="15.75" customHeight="1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</row>
    <row r="616" ht="15.75" customHeight="1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</row>
    <row r="617" ht="15.75" customHeight="1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</row>
    <row r="618" ht="15.75" customHeight="1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</row>
    <row r="619" ht="15.75" customHeight="1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</row>
    <row r="620" ht="15.75" customHeight="1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</row>
    <row r="621" ht="15.75" customHeight="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</row>
    <row r="622" ht="15.75" customHeight="1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</row>
    <row r="623" ht="15.75" customHeight="1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</row>
    <row r="624" ht="15.75" customHeight="1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</row>
    <row r="625" ht="15.75" customHeight="1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</row>
    <row r="626" ht="15.75" customHeight="1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</row>
    <row r="627" ht="15.75" customHeight="1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</row>
    <row r="628" ht="15.75" customHeight="1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</row>
    <row r="629" ht="15.75" customHeight="1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</row>
    <row r="630" ht="15.75" customHeight="1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</row>
    <row r="631" ht="15.75" customHeight="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</row>
    <row r="632" ht="15.75" customHeight="1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</row>
    <row r="633" ht="15.75" customHeight="1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</row>
    <row r="634" ht="15.75" customHeight="1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</row>
    <row r="635" ht="15.75" customHeight="1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</row>
    <row r="636" ht="15.75" customHeight="1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</row>
    <row r="637" ht="15.75" customHeight="1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</row>
    <row r="638" ht="15.75" customHeight="1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</row>
    <row r="639" ht="15.75" customHeight="1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</row>
    <row r="640" ht="15.75" customHeight="1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</row>
    <row r="641" ht="15.75" customHeight="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</row>
    <row r="642" ht="15.75" customHeight="1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</row>
    <row r="643" ht="15.75" customHeight="1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</row>
    <row r="644" ht="15.75" customHeight="1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</row>
    <row r="645" ht="15.75" customHeight="1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</row>
    <row r="646" ht="15.75" customHeight="1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</row>
    <row r="647" ht="15.75" customHeight="1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</row>
    <row r="648" ht="15.75" customHeight="1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</row>
    <row r="649" ht="15.75" customHeight="1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</row>
    <row r="650" ht="15.75" customHeight="1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</row>
    <row r="651" ht="15.75" customHeight="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</row>
    <row r="652" ht="15.75" customHeight="1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</row>
    <row r="653" ht="15.75" customHeight="1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</row>
    <row r="654" ht="15.75" customHeight="1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</row>
    <row r="655" ht="15.75" customHeight="1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</row>
    <row r="656" ht="15.75" customHeight="1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</row>
    <row r="657" ht="15.75" customHeight="1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</row>
    <row r="658" ht="15.75" customHeight="1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</row>
    <row r="659" ht="15.75" customHeight="1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</row>
    <row r="660" ht="15.75" customHeight="1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</row>
    <row r="661" ht="15.75" customHeight="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</row>
    <row r="662" ht="15.75" customHeight="1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</row>
    <row r="663" ht="15.75" customHeight="1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</row>
    <row r="664" ht="15.75" customHeight="1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</row>
    <row r="665" ht="15.75" customHeight="1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</row>
    <row r="666" ht="15.75" customHeight="1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</row>
    <row r="667" ht="15.75" customHeight="1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</row>
    <row r="668" ht="15.75" customHeight="1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</row>
    <row r="669" ht="15.75" customHeight="1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</row>
    <row r="670" ht="15.75" customHeight="1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</row>
    <row r="671" ht="15.75" customHeight="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</row>
    <row r="672" ht="15.75" customHeight="1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</row>
    <row r="673" ht="15.75" customHeight="1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</row>
    <row r="674" ht="15.75" customHeight="1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</row>
    <row r="675" ht="15.75" customHeight="1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</row>
    <row r="676" ht="15.75" customHeight="1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</row>
    <row r="677" ht="15.75" customHeight="1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</row>
    <row r="678" ht="15.75" customHeight="1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</row>
    <row r="679" ht="15.75" customHeight="1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</row>
    <row r="680" ht="15.75" customHeight="1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</row>
    <row r="681" ht="15.75" customHeight="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</row>
    <row r="682" ht="15.75" customHeight="1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</row>
    <row r="683" ht="15.75" customHeight="1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</row>
    <row r="684" ht="15.75" customHeight="1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</row>
    <row r="685" ht="15.75" customHeight="1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</row>
    <row r="686" ht="15.75" customHeight="1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</row>
    <row r="687" ht="15.75" customHeight="1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</row>
    <row r="688" ht="15.75" customHeight="1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</row>
    <row r="689" ht="15.75" customHeight="1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</row>
    <row r="690" ht="15.75" customHeight="1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</row>
    <row r="691" ht="15.75" customHeight="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</row>
    <row r="692" ht="15.75" customHeight="1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</row>
    <row r="693" ht="15.75" customHeight="1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</row>
    <row r="694" ht="15.75" customHeight="1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</row>
    <row r="695" ht="15.75" customHeight="1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</row>
    <row r="696" ht="15.75" customHeight="1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</row>
    <row r="697" ht="15.75" customHeight="1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</row>
    <row r="698" ht="15.75" customHeight="1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</row>
    <row r="699" ht="15.75" customHeight="1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</row>
    <row r="700" ht="15.75" customHeight="1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</row>
    <row r="701" ht="15.75" customHeight="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</row>
    <row r="702" ht="15.75" customHeight="1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</row>
    <row r="703" ht="15.75" customHeight="1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</row>
    <row r="704" ht="15.75" customHeight="1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</row>
    <row r="705" ht="15.75" customHeight="1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</row>
    <row r="706" ht="15.75" customHeight="1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</row>
    <row r="707" ht="15.75" customHeight="1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</row>
    <row r="708" ht="15.75" customHeight="1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</row>
    <row r="709" ht="15.75" customHeight="1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</row>
    <row r="710" ht="15.75" customHeight="1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</row>
    <row r="711" ht="15.75" customHeight="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</row>
    <row r="712" ht="15.75" customHeight="1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</row>
    <row r="713" ht="15.75" customHeight="1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</row>
    <row r="714" ht="15.75" customHeight="1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</row>
    <row r="715" ht="15.75" customHeight="1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</row>
    <row r="716" ht="15.75" customHeight="1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</row>
    <row r="717" ht="15.75" customHeight="1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</row>
    <row r="718" ht="15.75" customHeight="1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</row>
    <row r="719" ht="15.75" customHeight="1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</row>
    <row r="720" ht="15.75" customHeight="1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</row>
    <row r="721" ht="15.75" customHeight="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</row>
    <row r="722" ht="15.75" customHeight="1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</row>
    <row r="723" ht="15.75" customHeight="1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</row>
    <row r="724" ht="15.75" customHeight="1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</row>
    <row r="725" ht="15.75" customHeight="1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</row>
    <row r="726" ht="15.75" customHeight="1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</row>
    <row r="727" ht="15.75" customHeight="1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</row>
    <row r="728" ht="15.75" customHeight="1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</row>
    <row r="729" ht="15.75" customHeight="1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</row>
    <row r="730" ht="15.75" customHeight="1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</row>
    <row r="731" ht="15.75" customHeight="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</row>
    <row r="732" ht="15.75" customHeight="1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</row>
    <row r="733" ht="15.75" customHeight="1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</row>
    <row r="734" ht="15.75" customHeight="1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</row>
    <row r="735" ht="15.75" customHeight="1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</row>
    <row r="736" ht="15.75" customHeight="1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</row>
    <row r="737" ht="15.75" customHeight="1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</row>
    <row r="738" ht="15.75" customHeight="1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</row>
    <row r="739" ht="15.75" customHeight="1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</row>
    <row r="740" ht="15.75" customHeight="1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</row>
    <row r="741" ht="15.75" customHeight="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</row>
    <row r="742" ht="15.75" customHeight="1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</row>
    <row r="743" ht="15.75" customHeight="1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</row>
    <row r="744" ht="15.75" customHeight="1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</row>
    <row r="745" ht="15.75" customHeight="1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</row>
    <row r="746" ht="15.75" customHeight="1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</row>
    <row r="747" ht="15.75" customHeight="1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</row>
    <row r="748" ht="15.75" customHeight="1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</row>
    <row r="749" ht="15.75" customHeight="1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</row>
    <row r="750" ht="15.75" customHeight="1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</row>
    <row r="751" ht="15.75" customHeight="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</row>
    <row r="752" ht="15.75" customHeight="1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</row>
    <row r="753" ht="15.75" customHeight="1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</row>
    <row r="754" ht="15.75" customHeight="1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</row>
    <row r="755" ht="15.75" customHeight="1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</row>
    <row r="756" ht="15.75" customHeight="1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</row>
    <row r="757" ht="15.75" customHeight="1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</row>
    <row r="758" ht="15.75" customHeight="1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</row>
    <row r="759" ht="15.75" customHeight="1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</row>
    <row r="760" ht="15.75" customHeight="1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</row>
    <row r="761" ht="15.75" customHeight="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</row>
    <row r="762" ht="15.75" customHeight="1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</row>
    <row r="763" ht="15.75" customHeight="1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</row>
    <row r="764" ht="15.75" customHeight="1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</row>
    <row r="765" ht="15.75" customHeight="1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</row>
    <row r="766" ht="15.75" customHeight="1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</row>
    <row r="767" ht="15.75" customHeight="1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</row>
    <row r="768" ht="15.75" customHeight="1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</row>
    <row r="769" ht="15.75" customHeight="1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</row>
    <row r="770" ht="15.75" customHeight="1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</row>
    <row r="771" ht="15.75" customHeight="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</row>
    <row r="772" ht="15.75" customHeight="1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</row>
    <row r="773" ht="15.75" customHeight="1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</row>
    <row r="774" ht="15.75" customHeight="1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</row>
    <row r="775" ht="15.75" customHeight="1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</row>
    <row r="776" ht="15.75" customHeight="1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</row>
    <row r="777" ht="15.75" customHeight="1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</row>
    <row r="778" ht="15.75" customHeight="1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</row>
    <row r="779" ht="15.75" customHeight="1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</row>
    <row r="780" ht="15.75" customHeight="1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</row>
    <row r="781" ht="15.75" customHeight="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</row>
    <row r="782" ht="15.75" customHeight="1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</row>
    <row r="783" ht="15.75" customHeight="1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</row>
    <row r="784" ht="15.75" customHeight="1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</row>
    <row r="785" ht="15.75" customHeight="1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</row>
    <row r="786" ht="15.75" customHeight="1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</row>
    <row r="787" ht="15.75" customHeight="1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</row>
    <row r="788" ht="15.75" customHeight="1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</row>
    <row r="789" ht="15.75" customHeight="1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</row>
    <row r="790" ht="15.75" customHeight="1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</row>
    <row r="791" ht="15.75" customHeight="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</row>
    <row r="792" ht="15.75" customHeight="1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</row>
    <row r="793" ht="15.75" customHeight="1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</row>
    <row r="794" ht="15.75" customHeight="1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</row>
    <row r="795" ht="15.75" customHeight="1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</row>
    <row r="796" ht="15.75" customHeight="1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</row>
    <row r="797" ht="15.75" customHeight="1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</row>
    <row r="798" ht="15.75" customHeight="1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</row>
    <row r="799" ht="15.75" customHeight="1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</row>
    <row r="800" ht="15.75" customHeight="1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</row>
    <row r="801" ht="15.75" customHeight="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</row>
    <row r="802" ht="15.75" customHeight="1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</row>
    <row r="803" ht="15.75" customHeight="1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</row>
    <row r="804" ht="15.75" customHeight="1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</row>
    <row r="805" ht="15.75" customHeight="1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</row>
    <row r="806" ht="15.75" customHeight="1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</row>
    <row r="807" ht="15.75" customHeight="1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</row>
    <row r="808" ht="15.75" customHeight="1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</row>
    <row r="809" ht="15.75" customHeight="1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</row>
    <row r="810" ht="15.75" customHeight="1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</row>
    <row r="811" ht="15.75" customHeight="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</row>
    <row r="812" ht="15.75" customHeight="1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</row>
    <row r="813" ht="15.75" customHeight="1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</row>
    <row r="814" ht="15.75" customHeight="1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</row>
    <row r="815" ht="15.75" customHeight="1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</row>
    <row r="816" ht="15.75" customHeight="1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</row>
    <row r="817" ht="15.75" customHeight="1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</row>
    <row r="818" ht="15.75" customHeight="1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</row>
    <row r="819" ht="15.75" customHeight="1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</row>
    <row r="820" ht="15.75" customHeight="1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</row>
    <row r="821" ht="15.75" customHeight="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</row>
    <row r="822" ht="15.75" customHeight="1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</row>
    <row r="823" ht="15.75" customHeight="1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</row>
    <row r="824" ht="15.75" customHeight="1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</row>
    <row r="825" ht="15.75" customHeight="1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</row>
    <row r="826" ht="15.75" customHeight="1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</row>
    <row r="827" ht="15.75" customHeight="1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</row>
    <row r="828" ht="15.75" customHeight="1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</row>
    <row r="829" ht="15.75" customHeight="1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</row>
    <row r="830" ht="15.75" customHeight="1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</row>
    <row r="831" ht="15.75" customHeight="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</row>
    <row r="832" ht="15.75" customHeight="1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</row>
    <row r="833" ht="15.75" customHeight="1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</row>
    <row r="834" ht="15.75" customHeight="1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</row>
    <row r="835" ht="15.75" customHeight="1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</row>
    <row r="836" ht="15.75" customHeight="1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</row>
    <row r="837" ht="15.75" customHeight="1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</row>
    <row r="838" ht="15.75" customHeight="1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</row>
    <row r="839" ht="15.75" customHeight="1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</row>
    <row r="840" ht="15.75" customHeight="1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</row>
    <row r="841" ht="15.75" customHeight="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</row>
    <row r="842" ht="15.75" customHeight="1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</row>
    <row r="843" ht="15.75" customHeight="1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</row>
    <row r="844" ht="15.75" customHeight="1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</row>
    <row r="845" ht="15.75" customHeight="1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</row>
    <row r="846" ht="15.75" customHeight="1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</row>
    <row r="847" ht="15.75" customHeight="1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</row>
    <row r="848" ht="15.75" customHeight="1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</row>
    <row r="849" ht="15.75" customHeight="1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</row>
    <row r="850" ht="15.75" customHeight="1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</row>
    <row r="851" ht="15.75" customHeight="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</row>
    <row r="852" ht="15.75" customHeight="1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</row>
    <row r="853" ht="15.75" customHeight="1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</row>
    <row r="854" ht="15.75" customHeight="1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</row>
    <row r="855" ht="15.75" customHeight="1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</row>
    <row r="856" ht="15.75" customHeight="1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</row>
    <row r="857" ht="15.75" customHeight="1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</row>
    <row r="858" ht="15.75" customHeight="1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</row>
    <row r="859" ht="15.75" customHeight="1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</row>
    <row r="860" ht="15.75" customHeight="1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</row>
    <row r="861" ht="15.75" customHeight="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</row>
    <row r="862" ht="15.75" customHeight="1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</row>
    <row r="863" ht="15.75" customHeight="1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</row>
    <row r="864" ht="15.75" customHeight="1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</row>
    <row r="865" ht="15.75" customHeight="1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</row>
    <row r="866" ht="15.75" customHeight="1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</row>
    <row r="867" ht="15.75" customHeight="1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</row>
    <row r="868" ht="15.75" customHeight="1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</row>
    <row r="869" ht="15.75" customHeight="1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</row>
    <row r="870" ht="15.75" customHeight="1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</row>
    <row r="871" ht="15.75" customHeight="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</row>
    <row r="872" ht="15.75" customHeight="1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</row>
    <row r="873" ht="15.75" customHeight="1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</row>
    <row r="874" ht="15.75" customHeight="1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</row>
    <row r="875" ht="15.75" customHeight="1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</row>
    <row r="876" ht="15.75" customHeight="1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</row>
    <row r="877" ht="15.75" customHeight="1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</row>
    <row r="878" ht="15.75" customHeight="1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</row>
    <row r="879" ht="15.75" customHeight="1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</row>
    <row r="880" ht="15.75" customHeight="1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</row>
    <row r="881" ht="15.75" customHeight="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</row>
    <row r="882" ht="15.75" customHeight="1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</row>
    <row r="883" ht="15.75" customHeight="1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</row>
    <row r="884" ht="15.75" customHeight="1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</row>
    <row r="885" ht="15.75" customHeight="1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</row>
    <row r="886" ht="15.75" customHeight="1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</row>
    <row r="887" ht="15.75" customHeight="1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</row>
    <row r="888" ht="15.75" customHeight="1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</row>
    <row r="889" ht="15.75" customHeight="1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</row>
    <row r="890" ht="15.75" customHeight="1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</row>
    <row r="891" ht="15.75" customHeight="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</row>
    <row r="892" ht="15.75" customHeight="1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</row>
    <row r="893" ht="15.75" customHeight="1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</row>
    <row r="894" ht="15.75" customHeight="1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</row>
    <row r="895" ht="15.75" customHeight="1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</row>
    <row r="896" ht="15.75" customHeight="1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</row>
    <row r="897" ht="15.75" customHeight="1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</row>
    <row r="898" ht="15.75" customHeight="1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</row>
    <row r="899" ht="15.75" customHeight="1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</row>
    <row r="900" ht="15.75" customHeight="1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</row>
    <row r="901" ht="15.75" customHeight="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</row>
    <row r="902" ht="15.75" customHeight="1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</row>
    <row r="903" ht="15.75" customHeight="1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</row>
    <row r="904" ht="15.75" customHeight="1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</row>
    <row r="905" ht="15.75" customHeight="1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</row>
    <row r="906" ht="15.75" customHeight="1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</row>
    <row r="907" ht="15.75" customHeight="1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</row>
    <row r="908" ht="15.75" customHeight="1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</row>
    <row r="909" ht="15.75" customHeight="1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</row>
    <row r="910" ht="15.75" customHeight="1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</row>
    <row r="911" ht="15.75" customHeight="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</row>
    <row r="912" ht="15.75" customHeight="1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</row>
    <row r="913" ht="15.75" customHeight="1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</row>
    <row r="914" ht="15.75" customHeight="1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</row>
    <row r="915" ht="15.75" customHeight="1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</row>
    <row r="916" ht="15.75" customHeight="1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</row>
    <row r="917" ht="15.75" customHeight="1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</row>
    <row r="918" ht="15.75" customHeight="1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</row>
    <row r="919" ht="15.75" customHeight="1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</row>
    <row r="920" ht="15.75" customHeight="1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</row>
    <row r="921" ht="15.75" customHeight="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</row>
    <row r="922" ht="15.75" customHeight="1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</row>
    <row r="923" ht="15.75" customHeight="1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</row>
    <row r="924" ht="15.75" customHeight="1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</row>
    <row r="925" ht="15.75" customHeight="1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</row>
    <row r="926" ht="15.75" customHeight="1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</row>
    <row r="927" ht="15.75" customHeight="1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</row>
    <row r="928" ht="15.75" customHeight="1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</row>
    <row r="929" ht="15.75" customHeight="1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</row>
    <row r="930" ht="15.75" customHeight="1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</row>
    <row r="931" ht="15.75" customHeight="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</row>
    <row r="932" ht="15.75" customHeight="1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</row>
    <row r="933" ht="15.75" customHeight="1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</row>
    <row r="934" ht="15.75" customHeight="1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</row>
    <row r="935" ht="15.75" customHeight="1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</row>
    <row r="936" ht="15.75" customHeight="1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</row>
    <row r="937" ht="15.75" customHeight="1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</row>
    <row r="938" ht="15.75" customHeight="1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</row>
    <row r="939" ht="15.75" customHeight="1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</row>
    <row r="940" ht="15.75" customHeight="1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</row>
    <row r="941" ht="15.75" customHeight="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</row>
    <row r="942" ht="15.75" customHeight="1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</row>
    <row r="943" ht="15.75" customHeight="1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</row>
    <row r="944" ht="15.75" customHeight="1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</row>
    <row r="945" ht="15.75" customHeight="1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</row>
    <row r="946" ht="15.75" customHeight="1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</row>
    <row r="947" ht="15.75" customHeight="1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</row>
    <row r="948" ht="15.75" customHeight="1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</row>
    <row r="949" ht="15.75" customHeight="1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</row>
    <row r="950" ht="15.75" customHeight="1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</row>
    <row r="951" ht="15.75" customHeight="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</row>
    <row r="952" ht="15.75" customHeight="1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</row>
    <row r="953" ht="15.75" customHeight="1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</row>
    <row r="954" ht="15.75" customHeight="1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</row>
    <row r="955" ht="15.75" customHeight="1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</row>
    <row r="956" ht="15.75" customHeight="1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</row>
    <row r="957" ht="15.75" customHeight="1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</row>
    <row r="958" ht="15.75" customHeight="1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</row>
    <row r="959" ht="15.75" customHeight="1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</row>
    <row r="960" ht="15.75" customHeight="1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</row>
    <row r="961" ht="15.75" customHeight="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</row>
    <row r="962" ht="15.75" customHeight="1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</row>
    <row r="963" ht="15.75" customHeight="1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</row>
    <row r="964" ht="15.75" customHeight="1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</row>
    <row r="965" ht="15.75" customHeight="1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</row>
    <row r="966" ht="15.75" customHeight="1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</row>
    <row r="967" ht="15.75" customHeight="1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</row>
    <row r="968" ht="15.75" customHeight="1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</row>
    <row r="969" ht="15.75" customHeight="1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</row>
    <row r="970" ht="15.75" customHeight="1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</row>
    <row r="971" ht="15.75" customHeight="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</row>
    <row r="972" ht="15.75" customHeight="1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</row>
    <row r="973" ht="15.75" customHeight="1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</row>
    <row r="974" ht="15.75" customHeight="1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</row>
    <row r="975" ht="15.75" customHeight="1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</row>
    <row r="976" ht="15.75" customHeight="1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</row>
    <row r="977" ht="15.75" customHeight="1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</row>
    <row r="978" ht="15.75" customHeight="1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</row>
    <row r="979" ht="15.75" customHeight="1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</row>
    <row r="980" ht="15.75" customHeight="1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</row>
    <row r="981" ht="15.75" customHeight="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</row>
    <row r="982" ht="15.75" customHeight="1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</row>
    <row r="983" ht="15.75" customHeight="1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</row>
    <row r="984" ht="15.75" customHeight="1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</row>
    <row r="985" ht="15.75" customHeight="1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</row>
    <row r="986" ht="15.75" customHeight="1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</row>
    <row r="987" ht="15.75" customHeight="1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</row>
    <row r="988" ht="15.75" customHeight="1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</row>
    <row r="989" ht="15.75" customHeight="1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</row>
    <row r="990" ht="15.75" customHeight="1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</row>
    <row r="991" ht="15.75" customHeight="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</row>
    <row r="992" ht="15.75" customHeight="1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</row>
    <row r="993" ht="15.75" customHeight="1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</row>
    <row r="994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</row>
    <row r="995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</row>
    <row r="996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</row>
    <row r="997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</row>
    <row r="998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</row>
    <row r="999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</row>
    <row r="1000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2.57"/>
    <col customWidth="1" hidden="1" min="2" max="2" width="42.86"/>
    <col customWidth="1" hidden="1" min="3" max="3" width="31.14"/>
    <col customWidth="1" min="4" max="4" width="14.0"/>
    <col customWidth="1" min="5" max="5" width="29.0"/>
    <col customWidth="1" min="6" max="6" width="15.86"/>
    <col customWidth="1" hidden="1" min="7" max="7" width="25.71"/>
    <col customWidth="1" min="8" max="8" width="11.43"/>
    <col customWidth="1" min="9" max="9" width="15.86"/>
    <col customWidth="1" min="10" max="10" width="14.71"/>
    <col customWidth="1" min="11" max="11" width="13.86"/>
  </cols>
  <sheetData>
    <row r="1" ht="12.75" customHeight="1">
      <c r="A1" s="51" t="s">
        <v>222</v>
      </c>
      <c r="B1" s="51" t="s">
        <v>223</v>
      </c>
      <c r="C1" s="51" t="s">
        <v>224</v>
      </c>
      <c r="D1" s="52" t="s">
        <v>4</v>
      </c>
      <c r="E1" s="52" t="s">
        <v>225</v>
      </c>
      <c r="F1" s="52" t="s">
        <v>226</v>
      </c>
      <c r="G1" s="52" t="s">
        <v>227</v>
      </c>
      <c r="H1" s="53" t="s">
        <v>228</v>
      </c>
      <c r="I1" s="54" t="s">
        <v>229</v>
      </c>
      <c r="J1" s="54" t="s">
        <v>230</v>
      </c>
      <c r="K1" s="54" t="s">
        <v>231</v>
      </c>
    </row>
    <row r="2" ht="12.75" customHeight="1">
      <c r="A2" s="55" t="s">
        <v>149</v>
      </c>
      <c r="B2" s="56" t="s">
        <v>176</v>
      </c>
      <c r="C2" s="56" t="s">
        <v>177</v>
      </c>
      <c r="D2" s="57" t="s">
        <v>148</v>
      </c>
      <c r="E2" s="57" t="s">
        <v>150</v>
      </c>
      <c r="F2" s="57" t="s">
        <v>61</v>
      </c>
      <c r="G2" s="57" t="s">
        <v>91</v>
      </c>
      <c r="H2" s="58">
        <v>192.88</v>
      </c>
      <c r="I2" s="58">
        <f t="shared" ref="I2:I9" si="1">H2*176</f>
        <v>33946.88</v>
      </c>
      <c r="J2" s="58">
        <f t="shared" ref="J2:J9" si="2">I2*12</f>
        <v>407362.56</v>
      </c>
      <c r="K2" s="59" t="s">
        <v>14</v>
      </c>
    </row>
    <row r="3" ht="12.75" customHeight="1">
      <c r="A3" s="60" t="s">
        <v>167</v>
      </c>
      <c r="B3" s="61" t="s">
        <v>168</v>
      </c>
      <c r="C3" s="61" t="s">
        <v>169</v>
      </c>
      <c r="D3" s="62" t="s">
        <v>122</v>
      </c>
      <c r="E3" s="62" t="s">
        <v>114</v>
      </c>
      <c r="F3" s="62" t="s">
        <v>28</v>
      </c>
      <c r="G3" s="62" t="s">
        <v>91</v>
      </c>
      <c r="H3" s="63">
        <v>283.32</v>
      </c>
      <c r="I3" s="63">
        <f t="shared" si="1"/>
        <v>49864.32</v>
      </c>
      <c r="J3" s="63">
        <f t="shared" si="2"/>
        <v>598371.84</v>
      </c>
      <c r="K3" s="64" t="s">
        <v>14</v>
      </c>
    </row>
    <row r="4" ht="12.75" customHeight="1">
      <c r="A4" s="60" t="s">
        <v>170</v>
      </c>
      <c r="B4" s="61" t="s">
        <v>171</v>
      </c>
      <c r="C4" s="4" t="s">
        <v>172</v>
      </c>
      <c r="D4" s="62" t="s">
        <v>129</v>
      </c>
      <c r="E4" s="62" t="s">
        <v>111</v>
      </c>
      <c r="F4" s="62" t="s">
        <v>28</v>
      </c>
      <c r="G4" s="62" t="s">
        <v>91</v>
      </c>
      <c r="H4" s="63">
        <v>257.64</v>
      </c>
      <c r="I4" s="63">
        <f t="shared" si="1"/>
        <v>45344.64</v>
      </c>
      <c r="J4" s="63">
        <f t="shared" si="2"/>
        <v>544135.68</v>
      </c>
      <c r="K4" s="64" t="s">
        <v>14</v>
      </c>
    </row>
    <row r="5" ht="12.75" customHeight="1">
      <c r="A5" s="60" t="s">
        <v>188</v>
      </c>
      <c r="B5" s="61" t="s">
        <v>189</v>
      </c>
      <c r="C5" s="61" t="s">
        <v>190</v>
      </c>
      <c r="D5" s="62" t="s">
        <v>127</v>
      </c>
      <c r="E5" s="62" t="s">
        <v>111</v>
      </c>
      <c r="F5" s="62" t="s">
        <v>28</v>
      </c>
      <c r="G5" s="62" t="s">
        <v>191</v>
      </c>
      <c r="H5" s="63">
        <v>257.64</v>
      </c>
      <c r="I5" s="63">
        <f t="shared" si="1"/>
        <v>45344.64</v>
      </c>
      <c r="J5" s="63">
        <f t="shared" si="2"/>
        <v>544135.68</v>
      </c>
      <c r="K5" s="64" t="s">
        <v>7</v>
      </c>
    </row>
    <row r="6" ht="12.75" customHeight="1">
      <c r="A6" s="60" t="s">
        <v>196</v>
      </c>
      <c r="B6" s="61" t="s">
        <v>197</v>
      </c>
      <c r="C6" s="61" t="s">
        <v>198</v>
      </c>
      <c r="D6" s="62" t="s">
        <v>134</v>
      </c>
      <c r="E6" s="62" t="s">
        <v>111</v>
      </c>
      <c r="F6" s="62" t="s">
        <v>28</v>
      </c>
      <c r="G6" s="62" t="s">
        <v>191</v>
      </c>
      <c r="H6" s="63">
        <v>202.62</v>
      </c>
      <c r="I6" s="63">
        <f t="shared" si="1"/>
        <v>35661.12</v>
      </c>
      <c r="J6" s="63">
        <f t="shared" si="2"/>
        <v>427933.44</v>
      </c>
      <c r="K6" s="64" t="s">
        <v>7</v>
      </c>
    </row>
    <row r="7" ht="12.75" customHeight="1">
      <c r="A7" s="60" t="s">
        <v>146</v>
      </c>
      <c r="B7" s="61" t="s">
        <v>199</v>
      </c>
      <c r="C7" s="61" t="s">
        <v>200</v>
      </c>
      <c r="D7" s="62" t="s">
        <v>145</v>
      </c>
      <c r="E7" s="62" t="s">
        <v>147</v>
      </c>
      <c r="F7" s="62" t="s">
        <v>28</v>
      </c>
      <c r="G7" s="62" t="s">
        <v>191</v>
      </c>
      <c r="H7" s="63">
        <v>222.09</v>
      </c>
      <c r="I7" s="63">
        <f t="shared" si="1"/>
        <v>39087.84</v>
      </c>
      <c r="J7" s="63">
        <f t="shared" si="2"/>
        <v>469054.08</v>
      </c>
      <c r="K7" s="64" t="s">
        <v>7</v>
      </c>
    </row>
    <row r="8" ht="12.75" customHeight="1">
      <c r="A8" s="60" t="s">
        <v>142</v>
      </c>
      <c r="B8" s="61" t="s">
        <v>184</v>
      </c>
      <c r="C8" s="61" t="s">
        <v>185</v>
      </c>
      <c r="D8" s="62" t="s">
        <v>141</v>
      </c>
      <c r="E8" s="62" t="s">
        <v>143</v>
      </c>
      <c r="F8" s="62" t="s">
        <v>19</v>
      </c>
      <c r="G8" s="62" t="s">
        <v>91</v>
      </c>
      <c r="H8" s="63">
        <v>201.4</v>
      </c>
      <c r="I8" s="63">
        <f t="shared" si="1"/>
        <v>35446.4</v>
      </c>
      <c r="J8" s="63">
        <f t="shared" si="2"/>
        <v>425356.8</v>
      </c>
      <c r="K8" s="64" t="s">
        <v>14</v>
      </c>
    </row>
    <row r="9" ht="12.75" customHeight="1">
      <c r="A9" s="60" t="s">
        <v>155</v>
      </c>
      <c r="B9" s="61" t="s">
        <v>201</v>
      </c>
      <c r="C9" s="61"/>
      <c r="D9" s="62" t="s">
        <v>154</v>
      </c>
      <c r="E9" s="62" t="s">
        <v>156</v>
      </c>
      <c r="F9" s="62" t="s">
        <v>202</v>
      </c>
      <c r="G9" s="62" t="s">
        <v>191</v>
      </c>
      <c r="H9" s="63">
        <v>184.6</v>
      </c>
      <c r="I9" s="63">
        <f t="shared" si="1"/>
        <v>32489.6</v>
      </c>
      <c r="J9" s="63">
        <f t="shared" si="2"/>
        <v>389875.2</v>
      </c>
      <c r="K9" s="64" t="s">
        <v>7</v>
      </c>
    </row>
    <row r="10" ht="12.75" customHeight="1">
      <c r="A10" s="65"/>
      <c r="B10" s="66"/>
      <c r="C10" s="66"/>
      <c r="D10" s="67"/>
      <c r="E10" s="67"/>
      <c r="F10" s="67"/>
      <c r="G10" s="67"/>
      <c r="H10" s="68"/>
      <c r="I10" s="68"/>
      <c r="J10" s="69">
        <f>SUM(J2:J9)</f>
        <v>3806225.28</v>
      </c>
      <c r="K10" s="70"/>
    </row>
    <row r="11" ht="12.75" customHeight="1">
      <c r="A11" s="61"/>
      <c r="B11" s="61"/>
      <c r="C11" s="61"/>
      <c r="D11" s="62"/>
      <c r="E11" s="62"/>
      <c r="F11" s="62"/>
      <c r="G11" s="62"/>
      <c r="H11" s="63"/>
      <c r="I11" s="63"/>
      <c r="J11" s="71"/>
      <c r="K11" s="63"/>
    </row>
    <row r="12" ht="12.75" customHeight="1">
      <c r="A12" s="4"/>
      <c r="B12" s="4"/>
      <c r="C12" s="4"/>
      <c r="D12" s="4"/>
      <c r="E12" s="4"/>
      <c r="F12" s="4"/>
      <c r="G12" s="4"/>
      <c r="H12" s="72"/>
      <c r="I12" s="72"/>
      <c r="J12" s="72"/>
      <c r="K12" s="72"/>
    </row>
    <row r="13" ht="12.75" customHeight="1">
      <c r="A13" s="55" t="s">
        <v>30</v>
      </c>
      <c r="B13" s="56" t="s">
        <v>186</v>
      </c>
      <c r="C13" s="56" t="s">
        <v>187</v>
      </c>
      <c r="D13" s="57" t="s">
        <v>29</v>
      </c>
      <c r="E13" s="57" t="s">
        <v>144</v>
      </c>
      <c r="F13" s="57" t="s">
        <v>28</v>
      </c>
      <c r="G13" s="57" t="s">
        <v>191</v>
      </c>
      <c r="H13" s="58">
        <v>283.32</v>
      </c>
      <c r="I13" s="58">
        <f t="shared" ref="I13:I19" si="3">H13*176</f>
        <v>49864.32</v>
      </c>
      <c r="J13" s="58">
        <f t="shared" ref="J13:J19" si="4">I13*12</f>
        <v>598371.84</v>
      </c>
      <c r="K13" s="59" t="s">
        <v>7</v>
      </c>
    </row>
    <row r="14" ht="12.75" customHeight="1">
      <c r="A14" s="60" t="s">
        <v>32</v>
      </c>
      <c r="B14" s="61" t="s">
        <v>192</v>
      </c>
      <c r="C14" s="61" t="s">
        <v>193</v>
      </c>
      <c r="D14" s="62" t="s">
        <v>31</v>
      </c>
      <c r="E14" s="62" t="s">
        <v>114</v>
      </c>
      <c r="F14" s="62" t="s">
        <v>28</v>
      </c>
      <c r="G14" s="62" t="s">
        <v>191</v>
      </c>
      <c r="H14" s="63">
        <v>283.32</v>
      </c>
      <c r="I14" s="63">
        <f t="shared" si="3"/>
        <v>49864.32</v>
      </c>
      <c r="J14" s="63">
        <f t="shared" si="4"/>
        <v>598371.84</v>
      </c>
      <c r="K14" s="64" t="s">
        <v>7</v>
      </c>
    </row>
    <row r="15" ht="12.75" customHeight="1">
      <c r="A15" s="60" t="s">
        <v>21</v>
      </c>
      <c r="B15" s="61" t="s">
        <v>178</v>
      </c>
      <c r="C15" s="61" t="s">
        <v>179</v>
      </c>
      <c r="D15" s="62" t="s">
        <v>20</v>
      </c>
      <c r="E15" s="62" t="s">
        <v>111</v>
      </c>
      <c r="F15" s="62" t="s">
        <v>19</v>
      </c>
      <c r="G15" s="62" t="s">
        <v>91</v>
      </c>
      <c r="H15" s="63">
        <v>223.0</v>
      </c>
      <c r="I15" s="63">
        <f t="shared" si="3"/>
        <v>39248</v>
      </c>
      <c r="J15" s="63">
        <f t="shared" si="4"/>
        <v>470976</v>
      </c>
      <c r="K15" s="64" t="s">
        <v>14</v>
      </c>
    </row>
    <row r="16" ht="12.75" customHeight="1">
      <c r="A16" s="60" t="s">
        <v>25</v>
      </c>
      <c r="B16" s="61" t="s">
        <v>182</v>
      </c>
      <c r="C16" s="61" t="s">
        <v>183</v>
      </c>
      <c r="D16" s="62" t="s">
        <v>24</v>
      </c>
      <c r="E16" s="62" t="s">
        <v>111</v>
      </c>
      <c r="F16" s="62" t="s">
        <v>19</v>
      </c>
      <c r="G16" s="62" t="s">
        <v>91</v>
      </c>
      <c r="H16" s="63">
        <v>208.65</v>
      </c>
      <c r="I16" s="63">
        <f t="shared" si="3"/>
        <v>36722.4</v>
      </c>
      <c r="J16" s="63">
        <f t="shared" si="4"/>
        <v>440668.8</v>
      </c>
      <c r="K16" s="64" t="s">
        <v>14</v>
      </c>
    </row>
    <row r="17" ht="12.75" customHeight="1">
      <c r="A17" s="60" t="s">
        <v>34</v>
      </c>
      <c r="B17" s="61" t="s">
        <v>194</v>
      </c>
      <c r="C17" s="61" t="s">
        <v>195</v>
      </c>
      <c r="D17" s="62" t="s">
        <v>33</v>
      </c>
      <c r="E17" s="62" t="s">
        <v>111</v>
      </c>
      <c r="F17" s="62" t="s">
        <v>28</v>
      </c>
      <c r="G17" s="62" t="s">
        <v>191</v>
      </c>
      <c r="H17" s="63">
        <v>202.62</v>
      </c>
      <c r="I17" s="63">
        <f t="shared" si="3"/>
        <v>35661.12</v>
      </c>
      <c r="J17" s="63">
        <f t="shared" si="4"/>
        <v>427933.44</v>
      </c>
      <c r="K17" s="64" t="s">
        <v>7</v>
      </c>
    </row>
    <row r="18" ht="12.75" customHeight="1">
      <c r="A18" s="60" t="s">
        <v>27</v>
      </c>
      <c r="B18" s="61" t="s">
        <v>203</v>
      </c>
      <c r="C18" s="61" t="s">
        <v>204</v>
      </c>
      <c r="D18" s="62" t="s">
        <v>26</v>
      </c>
      <c r="E18" s="62" t="s">
        <v>111</v>
      </c>
      <c r="F18" s="62" t="s">
        <v>19</v>
      </c>
      <c r="G18" s="62" t="s">
        <v>191</v>
      </c>
      <c r="H18" s="63">
        <v>208.65</v>
      </c>
      <c r="I18" s="63">
        <f t="shared" si="3"/>
        <v>36722.4</v>
      </c>
      <c r="J18" s="63">
        <f t="shared" si="4"/>
        <v>440668.8</v>
      </c>
      <c r="K18" s="64" t="s">
        <v>7</v>
      </c>
    </row>
    <row r="19" ht="12.75" customHeight="1">
      <c r="A19" s="60" t="s">
        <v>36</v>
      </c>
      <c r="B19" s="61" t="s">
        <v>174</v>
      </c>
      <c r="C19" s="61" t="s">
        <v>175</v>
      </c>
      <c r="D19" s="62" t="s">
        <v>35</v>
      </c>
      <c r="E19" s="62" t="s">
        <v>153</v>
      </c>
      <c r="F19" s="62" t="s">
        <v>28</v>
      </c>
      <c r="G19" s="62" t="s">
        <v>91</v>
      </c>
      <c r="H19" s="63">
        <v>193.74</v>
      </c>
      <c r="I19" s="63">
        <f t="shared" si="3"/>
        <v>34098.24</v>
      </c>
      <c r="J19" s="63">
        <f t="shared" si="4"/>
        <v>409178.88</v>
      </c>
      <c r="K19" s="64" t="s">
        <v>14</v>
      </c>
    </row>
    <row r="20" ht="12.75" customHeight="1">
      <c r="A20" s="73"/>
      <c r="B20" s="4"/>
      <c r="C20" s="4"/>
      <c r="D20" s="4"/>
      <c r="E20" s="4"/>
      <c r="F20" s="4"/>
      <c r="G20" s="4"/>
      <c r="H20" s="72"/>
      <c r="I20" s="72"/>
      <c r="J20" s="74">
        <f>SUM(J13:J19)</f>
        <v>3386169.6</v>
      </c>
      <c r="K20" s="75"/>
    </row>
    <row r="21" ht="12.75" customHeight="1">
      <c r="A21" s="60" t="s">
        <v>23</v>
      </c>
      <c r="B21" s="61" t="s">
        <v>180</v>
      </c>
      <c r="C21" s="61" t="s">
        <v>181</v>
      </c>
      <c r="D21" s="62" t="s">
        <v>22</v>
      </c>
      <c r="E21" s="62" t="s">
        <v>119</v>
      </c>
      <c r="F21" s="62" t="s">
        <v>19</v>
      </c>
      <c r="G21" s="62" t="s">
        <v>91</v>
      </c>
      <c r="H21" s="63">
        <v>208.65</v>
      </c>
      <c r="I21" s="63">
        <f>H21*176</f>
        <v>36722.4</v>
      </c>
      <c r="J21" s="63">
        <f>I21*12</f>
        <v>440668.8</v>
      </c>
      <c r="K21" s="64" t="s">
        <v>14</v>
      </c>
    </row>
    <row r="22" ht="12.75" customHeight="1">
      <c r="A22" s="65"/>
      <c r="B22" s="66"/>
      <c r="C22" s="66"/>
      <c r="D22" s="67"/>
      <c r="E22" s="67"/>
      <c r="F22" s="67"/>
      <c r="G22" s="67"/>
      <c r="H22" s="68"/>
      <c r="I22" s="68"/>
      <c r="J22" s="69">
        <f>J20+J21</f>
        <v>3826838.4</v>
      </c>
      <c r="K22" s="70"/>
    </row>
    <row r="23" ht="12.75" customHeight="1">
      <c r="A23" s="4"/>
      <c r="B23" s="4"/>
      <c r="C23" s="4"/>
      <c r="D23" s="4"/>
      <c r="E23" s="4"/>
      <c r="F23" s="4"/>
      <c r="G23" s="4"/>
      <c r="H23" s="72"/>
      <c r="I23" s="72"/>
      <c r="J23" s="72"/>
      <c r="K23" s="72"/>
    </row>
    <row r="24" ht="12.75" customHeight="1">
      <c r="A24" s="4"/>
      <c r="B24" s="4"/>
      <c r="C24" s="4"/>
      <c r="D24" s="4"/>
      <c r="E24" s="4"/>
      <c r="F24" s="4"/>
      <c r="G24" s="4"/>
      <c r="H24" s="72"/>
      <c r="I24" s="72"/>
      <c r="J24" s="72"/>
      <c r="K24" s="72"/>
    </row>
    <row r="25" ht="12.75" customHeight="1">
      <c r="A25" s="55" t="s">
        <v>38</v>
      </c>
      <c r="B25" s="56" t="s">
        <v>205</v>
      </c>
      <c r="C25" s="56" t="s">
        <v>206</v>
      </c>
      <c r="D25" s="57" t="s">
        <v>37</v>
      </c>
      <c r="E25" s="57" t="s">
        <v>120</v>
      </c>
      <c r="F25" s="57" t="s">
        <v>19</v>
      </c>
      <c r="G25" s="57" t="s">
        <v>207</v>
      </c>
      <c r="H25" s="58">
        <v>208.65</v>
      </c>
      <c r="I25" s="58">
        <f t="shared" ref="I25:I27" si="5">H25*176</f>
        <v>36722.4</v>
      </c>
      <c r="J25" s="58">
        <f t="shared" ref="J25:J28" si="6">I25*12</f>
        <v>440668.8</v>
      </c>
      <c r="K25" s="59" t="s">
        <v>10</v>
      </c>
    </row>
    <row r="26" ht="12.75" customHeight="1">
      <c r="A26" s="60" t="s">
        <v>40</v>
      </c>
      <c r="B26" s="61" t="s">
        <v>208</v>
      </c>
      <c r="C26" s="61" t="s">
        <v>209</v>
      </c>
      <c r="D26" s="62" t="s">
        <v>39</v>
      </c>
      <c r="E26" s="62" t="s">
        <v>111</v>
      </c>
      <c r="F26" s="62" t="s">
        <v>19</v>
      </c>
      <c r="G26" s="62" t="s">
        <v>207</v>
      </c>
      <c r="H26" s="63">
        <v>208.65</v>
      </c>
      <c r="I26" s="63">
        <f t="shared" si="5"/>
        <v>36722.4</v>
      </c>
      <c r="J26" s="63">
        <f t="shared" si="6"/>
        <v>440668.8</v>
      </c>
      <c r="K26" s="64" t="s">
        <v>10</v>
      </c>
    </row>
    <row r="27" ht="12.75" customHeight="1">
      <c r="A27" s="60" t="s">
        <v>42</v>
      </c>
      <c r="B27" s="61" t="s">
        <v>210</v>
      </c>
      <c r="C27" s="61" t="s">
        <v>211</v>
      </c>
      <c r="D27" s="62" t="s">
        <v>41</v>
      </c>
      <c r="E27" s="76" t="s">
        <v>133</v>
      </c>
      <c r="F27" s="62" t="s">
        <v>19</v>
      </c>
      <c r="G27" s="62" t="s">
        <v>207</v>
      </c>
      <c r="H27" s="63">
        <v>208.65</v>
      </c>
      <c r="I27" s="63">
        <f t="shared" si="5"/>
        <v>36722.4</v>
      </c>
      <c r="J27" s="63">
        <f t="shared" si="6"/>
        <v>440668.8</v>
      </c>
      <c r="K27" s="64" t="s">
        <v>10</v>
      </c>
    </row>
    <row r="28" ht="12.75" customHeight="1">
      <c r="A28" s="73" t="s">
        <v>232</v>
      </c>
      <c r="B28" s="4"/>
      <c r="C28" s="4"/>
      <c r="D28" s="62" t="s">
        <v>43</v>
      </c>
      <c r="E28" s="62" t="s">
        <v>111</v>
      </c>
      <c r="F28" s="62" t="s">
        <v>19</v>
      </c>
      <c r="G28" s="62" t="s">
        <v>207</v>
      </c>
      <c r="H28" s="63">
        <v>208.65</v>
      </c>
      <c r="I28" s="63">
        <v>40000.0</v>
      </c>
      <c r="J28" s="63">
        <f t="shared" si="6"/>
        <v>480000</v>
      </c>
      <c r="K28" s="64" t="s">
        <v>10</v>
      </c>
    </row>
    <row r="29" ht="12.75" customHeight="1">
      <c r="A29" s="77"/>
      <c r="B29" s="78"/>
      <c r="C29" s="78"/>
      <c r="D29" s="78"/>
      <c r="E29" s="78"/>
      <c r="F29" s="78"/>
      <c r="G29" s="78"/>
      <c r="H29" s="79"/>
      <c r="I29" s="79"/>
      <c r="J29" s="80">
        <f>SUM(J25:J28)</f>
        <v>1802006.4</v>
      </c>
      <c r="K29" s="81"/>
    </row>
    <row r="30" ht="12.75" customHeight="1">
      <c r="A30" s="4"/>
      <c r="B30" s="4"/>
      <c r="C30" s="4"/>
      <c r="D30" s="4"/>
      <c r="E30" s="4"/>
      <c r="F30" s="4"/>
      <c r="G30" s="4"/>
      <c r="H30" s="72"/>
      <c r="I30" s="72"/>
      <c r="J30" s="72"/>
      <c r="K30" s="72"/>
    </row>
    <row r="31" ht="12.75" customHeight="1">
      <c r="A31" s="4"/>
      <c r="B31" s="4"/>
      <c r="C31" s="4"/>
      <c r="D31" s="4"/>
      <c r="E31" s="4"/>
      <c r="F31" s="4"/>
      <c r="G31" s="4"/>
      <c r="H31" s="72"/>
      <c r="I31" s="72"/>
      <c r="J31" s="72"/>
      <c r="K31" s="72"/>
    </row>
    <row r="32" ht="12.75" customHeight="1">
      <c r="A32" s="4"/>
      <c r="B32" s="4"/>
      <c r="C32" s="4"/>
      <c r="D32" s="4"/>
      <c r="E32" s="4"/>
      <c r="F32" s="4"/>
      <c r="G32" s="4"/>
      <c r="H32" s="72"/>
      <c r="I32" s="72"/>
      <c r="J32" s="72"/>
      <c r="K32" s="72"/>
    </row>
    <row r="33" ht="12.75" customHeight="1">
      <c r="A33" s="4"/>
      <c r="B33" s="4"/>
      <c r="C33" s="4"/>
      <c r="D33" s="4"/>
      <c r="E33" s="4"/>
      <c r="F33" s="4"/>
      <c r="G33" s="4"/>
      <c r="H33" s="72"/>
      <c r="I33" s="72"/>
      <c r="J33" s="72"/>
      <c r="K33" s="72"/>
    </row>
    <row r="34" ht="15.75" customHeight="1"/>
    <row r="35" ht="12.75" customHeight="1">
      <c r="A35" s="4"/>
      <c r="B35" s="4"/>
      <c r="C35" s="4"/>
      <c r="D35" s="4"/>
      <c r="E35" s="4"/>
      <c r="F35" s="4"/>
      <c r="G35" s="4"/>
      <c r="H35" s="72"/>
      <c r="I35" s="72"/>
      <c r="J35" s="72"/>
      <c r="K35" s="72"/>
    </row>
    <row r="36" ht="12.75" customHeight="1">
      <c r="A36" s="4"/>
      <c r="B36" s="4"/>
      <c r="C36" s="4"/>
      <c r="D36" s="4"/>
      <c r="E36" s="4"/>
      <c r="F36" s="4"/>
      <c r="G36" s="4"/>
      <c r="H36" s="72"/>
      <c r="I36" s="72"/>
      <c r="J36" s="72"/>
      <c r="K36" s="72"/>
    </row>
    <row r="37" ht="12.75" customHeight="1">
      <c r="A37" s="4"/>
      <c r="B37" s="4"/>
      <c r="C37" s="4"/>
      <c r="D37" s="4"/>
      <c r="E37" s="4"/>
      <c r="F37" s="4"/>
      <c r="G37" s="4"/>
      <c r="H37" s="72"/>
      <c r="I37" s="72"/>
      <c r="J37" s="72"/>
      <c r="K37" s="72"/>
    </row>
    <row r="38" ht="12.75" customHeight="1">
      <c r="A38" s="4"/>
      <c r="B38" s="4"/>
      <c r="C38" s="4"/>
      <c r="D38" s="4"/>
      <c r="E38" s="4"/>
      <c r="F38" s="4"/>
      <c r="G38" s="4"/>
      <c r="H38" s="72"/>
      <c r="I38" s="72"/>
      <c r="J38" s="72"/>
      <c r="K38" s="72"/>
    </row>
    <row r="39" ht="12.75" customHeight="1">
      <c r="A39" s="4"/>
      <c r="B39" s="4"/>
      <c r="C39" s="4"/>
      <c r="D39" s="4"/>
      <c r="E39" s="4"/>
      <c r="F39" s="4"/>
      <c r="G39" s="4"/>
      <c r="H39" s="72"/>
      <c r="I39" s="72"/>
      <c r="J39" s="72"/>
      <c r="K39" s="72"/>
    </row>
    <row r="40" ht="12.75" customHeight="1">
      <c r="A40" s="4"/>
      <c r="B40" s="4"/>
      <c r="C40" s="4"/>
      <c r="D40" s="4"/>
      <c r="E40" s="4"/>
      <c r="F40" s="4"/>
      <c r="G40" s="4"/>
      <c r="H40" s="72"/>
      <c r="I40" s="72"/>
      <c r="J40" s="72"/>
      <c r="K40" s="72"/>
    </row>
    <row r="41" ht="12.75" customHeight="1">
      <c r="A41" s="4"/>
      <c r="B41" s="4"/>
      <c r="C41" s="4"/>
      <c r="D41" s="4"/>
      <c r="E41" s="4"/>
      <c r="F41" s="4"/>
      <c r="G41" s="4"/>
      <c r="H41" s="72"/>
      <c r="I41" s="72"/>
      <c r="J41" s="72"/>
      <c r="K41" s="72"/>
    </row>
    <row r="42" ht="12.75" customHeight="1">
      <c r="A42" s="4"/>
      <c r="B42" s="4"/>
      <c r="C42" s="4"/>
      <c r="D42" s="4"/>
      <c r="E42" s="4"/>
      <c r="F42" s="4"/>
      <c r="G42" s="4"/>
      <c r="H42" s="72"/>
      <c r="I42" s="72"/>
      <c r="J42" s="72"/>
      <c r="K42" s="72"/>
    </row>
    <row r="43" ht="12.75" customHeight="1">
      <c r="A43" s="4"/>
      <c r="B43" s="4"/>
      <c r="C43" s="4"/>
      <c r="D43" s="4"/>
      <c r="E43" s="4"/>
      <c r="F43" s="4"/>
      <c r="G43" s="4"/>
      <c r="H43" s="72"/>
      <c r="I43" s="72"/>
      <c r="J43" s="72"/>
      <c r="K43" s="72"/>
    </row>
    <row r="44" ht="12.75" customHeight="1">
      <c r="A44" s="4"/>
      <c r="B44" s="4"/>
      <c r="C44" s="4"/>
      <c r="D44" s="4"/>
      <c r="E44" s="4"/>
      <c r="F44" s="4"/>
      <c r="G44" s="4"/>
      <c r="H44" s="72"/>
      <c r="I44" s="72"/>
      <c r="J44" s="72"/>
      <c r="K44" s="72"/>
    </row>
    <row r="45" ht="12.75" customHeight="1">
      <c r="A45" s="4"/>
      <c r="B45" s="4"/>
      <c r="C45" s="4"/>
      <c r="D45" s="4"/>
      <c r="E45" s="4"/>
      <c r="F45" s="4"/>
      <c r="G45" s="4"/>
      <c r="H45" s="72"/>
      <c r="I45" s="72"/>
      <c r="J45" s="72"/>
      <c r="K45" s="72"/>
    </row>
    <row r="46" ht="12.75" customHeight="1">
      <c r="A46" s="4"/>
      <c r="B46" s="4"/>
      <c r="C46" s="4"/>
      <c r="D46" s="4"/>
      <c r="E46" s="4"/>
      <c r="F46" s="4"/>
      <c r="G46" s="4"/>
      <c r="H46" s="72"/>
      <c r="I46" s="72"/>
      <c r="J46" s="72"/>
      <c r="K46" s="72"/>
    </row>
    <row r="47" ht="12.75" customHeight="1">
      <c r="A47" s="4"/>
      <c r="B47" s="4"/>
      <c r="C47" s="4"/>
      <c r="D47" s="4"/>
      <c r="E47" s="4"/>
      <c r="F47" s="4"/>
      <c r="G47" s="4"/>
      <c r="H47" s="72"/>
      <c r="I47" s="72"/>
      <c r="J47" s="72"/>
      <c r="K47" s="72"/>
    </row>
    <row r="48" ht="12.75" customHeight="1">
      <c r="A48" s="4"/>
      <c r="B48" s="4"/>
      <c r="C48" s="4"/>
      <c r="D48" s="4"/>
      <c r="E48" s="4"/>
      <c r="F48" s="4"/>
      <c r="G48" s="4"/>
      <c r="H48" s="72"/>
      <c r="I48" s="72"/>
      <c r="J48" s="72"/>
      <c r="K48" s="72"/>
    </row>
    <row r="49" ht="12.75" customHeight="1">
      <c r="A49" s="4"/>
      <c r="B49" s="4"/>
      <c r="C49" s="4"/>
      <c r="D49" s="4"/>
      <c r="E49" s="4"/>
      <c r="F49" s="4"/>
      <c r="G49" s="4"/>
      <c r="H49" s="72"/>
      <c r="I49" s="72"/>
      <c r="J49" s="72"/>
      <c r="K49" s="72"/>
    </row>
    <row r="50" ht="12.75" customHeight="1">
      <c r="A50" s="4"/>
      <c r="B50" s="4"/>
      <c r="C50" s="4"/>
      <c r="D50" s="4"/>
      <c r="E50" s="4"/>
      <c r="F50" s="4"/>
      <c r="G50" s="4"/>
      <c r="H50" s="72"/>
      <c r="I50" s="72"/>
      <c r="J50" s="72"/>
      <c r="K50" s="72"/>
    </row>
    <row r="51" ht="12.75" customHeight="1">
      <c r="A51" s="4"/>
      <c r="B51" s="4"/>
      <c r="C51" s="4"/>
      <c r="D51" s="4"/>
      <c r="E51" s="4"/>
      <c r="F51" s="4"/>
      <c r="G51" s="4"/>
      <c r="H51" s="72"/>
      <c r="I51" s="72"/>
      <c r="J51" s="72"/>
      <c r="K51" s="72"/>
    </row>
    <row r="52" ht="12.75" customHeight="1">
      <c r="A52" s="4"/>
      <c r="B52" s="4"/>
      <c r="C52" s="4"/>
      <c r="D52" s="4"/>
      <c r="E52" s="4"/>
      <c r="F52" s="4"/>
      <c r="G52" s="4"/>
      <c r="H52" s="72"/>
      <c r="I52" s="72"/>
      <c r="J52" s="72"/>
      <c r="K52" s="72"/>
    </row>
    <row r="53" ht="12.75" customHeight="1">
      <c r="A53" s="4"/>
      <c r="B53" s="4"/>
      <c r="C53" s="4"/>
      <c r="D53" s="4"/>
      <c r="E53" s="4"/>
      <c r="F53" s="4"/>
      <c r="G53" s="4"/>
      <c r="H53" s="72"/>
      <c r="I53" s="72"/>
      <c r="J53" s="72"/>
      <c r="K53" s="72"/>
    </row>
    <row r="54" ht="12.75" customHeight="1">
      <c r="A54" s="4"/>
      <c r="B54" s="4"/>
      <c r="C54" s="4"/>
      <c r="D54" s="4"/>
      <c r="E54" s="4"/>
      <c r="F54" s="4"/>
      <c r="G54" s="4"/>
      <c r="H54" s="72"/>
      <c r="I54" s="72"/>
      <c r="J54" s="72"/>
      <c r="K54" s="72"/>
    </row>
    <row r="55" ht="12.75" customHeight="1">
      <c r="A55" s="4"/>
      <c r="B55" s="4"/>
      <c r="C55" s="4"/>
      <c r="D55" s="4"/>
      <c r="E55" s="4"/>
      <c r="F55" s="4"/>
      <c r="G55" s="4"/>
      <c r="H55" s="72"/>
      <c r="I55" s="72"/>
      <c r="J55" s="72"/>
      <c r="K55" s="72"/>
    </row>
    <row r="56" ht="12.75" customHeight="1">
      <c r="A56" s="4"/>
      <c r="B56" s="4"/>
      <c r="C56" s="4"/>
      <c r="D56" s="4"/>
      <c r="E56" s="4"/>
      <c r="F56" s="4"/>
      <c r="G56" s="4"/>
      <c r="H56" s="72"/>
      <c r="I56" s="72"/>
      <c r="J56" s="72"/>
      <c r="K56" s="72"/>
    </row>
    <row r="57" ht="12.75" customHeight="1">
      <c r="A57" s="4"/>
      <c r="B57" s="4"/>
      <c r="C57" s="4"/>
      <c r="D57" s="4"/>
      <c r="E57" s="4"/>
      <c r="F57" s="4"/>
      <c r="G57" s="4"/>
      <c r="H57" s="72"/>
      <c r="I57" s="72"/>
      <c r="J57" s="72"/>
      <c r="K57" s="72"/>
    </row>
    <row r="58" ht="12.75" customHeight="1">
      <c r="A58" s="4"/>
      <c r="B58" s="4"/>
      <c r="C58" s="4"/>
      <c r="D58" s="4"/>
      <c r="E58" s="4"/>
      <c r="F58" s="4"/>
      <c r="G58" s="4"/>
      <c r="H58" s="72"/>
      <c r="I58" s="72"/>
      <c r="J58" s="72"/>
      <c r="K58" s="72"/>
    </row>
    <row r="59" ht="12.75" customHeight="1">
      <c r="A59" s="4"/>
      <c r="B59" s="4"/>
      <c r="C59" s="4"/>
      <c r="D59" s="4"/>
      <c r="E59" s="4"/>
      <c r="F59" s="4"/>
      <c r="G59" s="4"/>
      <c r="H59" s="72"/>
      <c r="I59" s="72"/>
      <c r="J59" s="72"/>
      <c r="K59" s="72"/>
    </row>
    <row r="60" ht="12.75" customHeight="1">
      <c r="A60" s="4"/>
      <c r="B60" s="4"/>
      <c r="C60" s="4"/>
      <c r="D60" s="4"/>
      <c r="E60" s="4"/>
      <c r="F60" s="4"/>
      <c r="G60" s="4"/>
      <c r="H60" s="72"/>
      <c r="I60" s="72"/>
      <c r="J60" s="72"/>
      <c r="K60" s="72"/>
    </row>
    <row r="61" ht="12.75" customHeight="1">
      <c r="A61" s="4"/>
      <c r="B61" s="4"/>
      <c r="C61" s="4"/>
      <c r="D61" s="4"/>
      <c r="E61" s="4"/>
      <c r="F61" s="4"/>
      <c r="G61" s="4"/>
      <c r="H61" s="72"/>
      <c r="I61" s="72"/>
      <c r="J61" s="72"/>
      <c r="K61" s="72"/>
    </row>
    <row r="62" ht="12.75" customHeight="1">
      <c r="A62" s="4"/>
      <c r="B62" s="4"/>
      <c r="C62" s="4"/>
      <c r="D62" s="4"/>
      <c r="E62" s="4"/>
      <c r="F62" s="4"/>
      <c r="G62" s="4"/>
      <c r="H62" s="72"/>
      <c r="I62" s="72"/>
      <c r="J62" s="72"/>
      <c r="K62" s="72"/>
    </row>
    <row r="63" ht="12.75" customHeight="1">
      <c r="A63" s="4"/>
      <c r="B63" s="4"/>
      <c r="C63" s="4"/>
      <c r="D63" s="4"/>
      <c r="E63" s="4"/>
      <c r="F63" s="4"/>
      <c r="G63" s="4"/>
      <c r="H63" s="72"/>
      <c r="I63" s="72"/>
      <c r="J63" s="72"/>
      <c r="K63" s="72"/>
    </row>
    <row r="64" ht="12.75" customHeight="1">
      <c r="A64" s="4"/>
      <c r="B64" s="4"/>
      <c r="C64" s="4"/>
      <c r="D64" s="4"/>
      <c r="E64" s="4"/>
      <c r="F64" s="4"/>
      <c r="G64" s="4"/>
      <c r="H64" s="72"/>
      <c r="I64" s="72"/>
      <c r="J64" s="72"/>
      <c r="K64" s="72"/>
    </row>
    <row r="65" ht="12.75" customHeight="1">
      <c r="A65" s="4"/>
      <c r="B65" s="4"/>
      <c r="C65" s="4"/>
      <c r="D65" s="4"/>
      <c r="E65" s="4"/>
      <c r="F65" s="4"/>
      <c r="G65" s="4"/>
      <c r="H65" s="72"/>
      <c r="I65" s="72"/>
      <c r="J65" s="72"/>
      <c r="K65" s="72"/>
    </row>
    <row r="66" ht="12.75" customHeight="1">
      <c r="A66" s="4"/>
      <c r="B66" s="4"/>
      <c r="C66" s="4"/>
      <c r="D66" s="4"/>
      <c r="E66" s="4"/>
      <c r="F66" s="4"/>
      <c r="G66" s="4"/>
      <c r="H66" s="72"/>
      <c r="I66" s="72"/>
      <c r="J66" s="72"/>
      <c r="K66" s="72"/>
    </row>
    <row r="67" ht="12.75" customHeight="1">
      <c r="A67" s="4"/>
      <c r="B67" s="4"/>
      <c r="C67" s="4"/>
      <c r="D67" s="4"/>
      <c r="E67" s="4"/>
      <c r="F67" s="4"/>
      <c r="G67" s="4"/>
      <c r="H67" s="72"/>
      <c r="I67" s="72"/>
      <c r="J67" s="72"/>
      <c r="K67" s="72"/>
    </row>
    <row r="68" ht="12.75" customHeight="1">
      <c r="A68" s="4"/>
      <c r="B68" s="4"/>
      <c r="C68" s="4"/>
      <c r="D68" s="4"/>
      <c r="E68" s="4"/>
      <c r="F68" s="4"/>
      <c r="G68" s="4"/>
      <c r="H68" s="72"/>
      <c r="I68" s="72"/>
      <c r="J68" s="72"/>
      <c r="K68" s="72"/>
    </row>
    <row r="69" ht="12.75" customHeight="1">
      <c r="A69" s="4"/>
      <c r="B69" s="4"/>
      <c r="C69" s="4"/>
      <c r="D69" s="4"/>
      <c r="E69" s="4"/>
      <c r="F69" s="4"/>
      <c r="G69" s="4"/>
      <c r="H69" s="72"/>
      <c r="I69" s="72"/>
      <c r="J69" s="72"/>
      <c r="K69" s="72"/>
    </row>
    <row r="70" ht="12.75" customHeight="1">
      <c r="A70" s="4"/>
      <c r="B70" s="4"/>
      <c r="C70" s="4"/>
      <c r="D70" s="4"/>
      <c r="E70" s="4"/>
      <c r="F70" s="4"/>
      <c r="G70" s="4"/>
      <c r="H70" s="72"/>
      <c r="I70" s="72"/>
      <c r="J70" s="72"/>
      <c r="K70" s="72"/>
    </row>
    <row r="71" ht="12.75" customHeight="1">
      <c r="A71" s="4"/>
      <c r="B71" s="4"/>
      <c r="C71" s="4"/>
      <c r="D71" s="4"/>
      <c r="E71" s="4"/>
      <c r="F71" s="4"/>
      <c r="G71" s="4"/>
      <c r="H71" s="72"/>
      <c r="I71" s="72"/>
      <c r="J71" s="72"/>
      <c r="K71" s="72"/>
    </row>
    <row r="72" ht="12.75" customHeight="1">
      <c r="A72" s="4"/>
      <c r="B72" s="4"/>
      <c r="C72" s="4"/>
      <c r="D72" s="4"/>
      <c r="E72" s="4"/>
      <c r="F72" s="4"/>
      <c r="G72" s="4"/>
      <c r="H72" s="72"/>
      <c r="I72" s="72"/>
      <c r="J72" s="72"/>
      <c r="K72" s="72"/>
    </row>
    <row r="73" ht="12.75" customHeight="1">
      <c r="A73" s="4"/>
      <c r="B73" s="4"/>
      <c r="C73" s="4"/>
      <c r="D73" s="4"/>
      <c r="E73" s="4"/>
      <c r="F73" s="4"/>
      <c r="G73" s="4"/>
      <c r="H73" s="72"/>
      <c r="I73" s="72"/>
      <c r="J73" s="72"/>
      <c r="K73" s="72"/>
    </row>
    <row r="74" ht="12.75" customHeight="1">
      <c r="A74" s="4"/>
      <c r="B74" s="4"/>
      <c r="C74" s="4"/>
      <c r="D74" s="4"/>
      <c r="E74" s="4"/>
      <c r="F74" s="4"/>
      <c r="G74" s="4"/>
      <c r="H74" s="72"/>
      <c r="I74" s="72"/>
      <c r="J74" s="72"/>
      <c r="K74" s="72"/>
    </row>
    <row r="75" ht="12.75" customHeight="1">
      <c r="A75" s="4"/>
      <c r="B75" s="4"/>
      <c r="C75" s="4"/>
      <c r="D75" s="4"/>
      <c r="E75" s="4"/>
      <c r="F75" s="4"/>
      <c r="G75" s="4"/>
      <c r="H75" s="72"/>
      <c r="I75" s="72"/>
      <c r="J75" s="72"/>
      <c r="K75" s="72"/>
    </row>
    <row r="76" ht="12.75" customHeight="1">
      <c r="A76" s="4"/>
      <c r="B76" s="4"/>
      <c r="C76" s="4"/>
      <c r="D76" s="4"/>
      <c r="E76" s="4"/>
      <c r="F76" s="4"/>
      <c r="G76" s="4"/>
      <c r="H76" s="72"/>
      <c r="I76" s="72"/>
      <c r="J76" s="72"/>
      <c r="K76" s="72"/>
    </row>
    <row r="77" ht="12.75" customHeight="1">
      <c r="A77" s="4"/>
      <c r="B77" s="4"/>
      <c r="C77" s="4"/>
      <c r="D77" s="4"/>
      <c r="E77" s="4"/>
      <c r="F77" s="4"/>
      <c r="G77" s="4"/>
      <c r="H77" s="72"/>
      <c r="I77" s="72"/>
      <c r="J77" s="72"/>
      <c r="K77" s="72"/>
    </row>
    <row r="78" ht="12.75" customHeight="1">
      <c r="A78" s="4"/>
      <c r="B78" s="4"/>
      <c r="C78" s="4"/>
      <c r="D78" s="4"/>
      <c r="E78" s="4"/>
      <c r="F78" s="4"/>
      <c r="G78" s="4"/>
      <c r="H78" s="72"/>
      <c r="I78" s="72"/>
      <c r="J78" s="72"/>
      <c r="K78" s="72"/>
    </row>
    <row r="79" ht="12.75" customHeight="1">
      <c r="A79" s="4"/>
      <c r="B79" s="4"/>
      <c r="C79" s="4"/>
      <c r="D79" s="4"/>
      <c r="E79" s="4"/>
      <c r="F79" s="4"/>
      <c r="G79" s="4"/>
      <c r="H79" s="72"/>
      <c r="I79" s="72"/>
      <c r="J79" s="72"/>
      <c r="K79" s="72"/>
    </row>
    <row r="80" ht="12.75" customHeight="1">
      <c r="A80" s="4"/>
      <c r="B80" s="4"/>
      <c r="C80" s="4"/>
      <c r="D80" s="4"/>
      <c r="E80" s="4"/>
      <c r="F80" s="4"/>
      <c r="G80" s="4"/>
      <c r="H80" s="72"/>
      <c r="I80" s="72"/>
      <c r="J80" s="72"/>
      <c r="K80" s="72"/>
    </row>
    <row r="81" ht="12.75" customHeight="1">
      <c r="A81" s="4"/>
      <c r="B81" s="4"/>
      <c r="C81" s="4"/>
      <c r="D81" s="4"/>
      <c r="E81" s="4"/>
      <c r="F81" s="4"/>
      <c r="G81" s="4"/>
      <c r="H81" s="72"/>
      <c r="I81" s="72"/>
      <c r="J81" s="72"/>
      <c r="K81" s="72"/>
    </row>
    <row r="82" ht="12.75" customHeight="1">
      <c r="A82" s="4"/>
      <c r="B82" s="4"/>
      <c r="C82" s="4"/>
      <c r="D82" s="4"/>
      <c r="E82" s="4"/>
      <c r="F82" s="4"/>
      <c r="G82" s="4"/>
      <c r="H82" s="72"/>
      <c r="I82" s="72"/>
      <c r="J82" s="72"/>
      <c r="K82" s="72"/>
    </row>
    <row r="83" ht="12.75" customHeight="1">
      <c r="A83" s="4"/>
      <c r="B83" s="4"/>
      <c r="C83" s="4"/>
      <c r="D83" s="4"/>
      <c r="E83" s="4"/>
      <c r="F83" s="4"/>
      <c r="G83" s="4"/>
      <c r="H83" s="72"/>
      <c r="I83" s="72"/>
      <c r="J83" s="72"/>
      <c r="K83" s="72"/>
    </row>
    <row r="84" ht="12.75" customHeight="1">
      <c r="A84" s="4"/>
      <c r="B84" s="4"/>
      <c r="C84" s="4"/>
      <c r="D84" s="4"/>
      <c r="E84" s="4"/>
      <c r="F84" s="4"/>
      <c r="G84" s="4"/>
      <c r="H84" s="72"/>
      <c r="I84" s="72"/>
      <c r="J84" s="72"/>
      <c r="K84" s="72"/>
    </row>
    <row r="85" ht="12.75" customHeight="1">
      <c r="A85" s="4"/>
      <c r="B85" s="4"/>
      <c r="C85" s="4"/>
      <c r="D85" s="4"/>
      <c r="E85" s="4"/>
      <c r="F85" s="4"/>
      <c r="G85" s="4"/>
      <c r="H85" s="72"/>
      <c r="I85" s="72"/>
      <c r="J85" s="72"/>
      <c r="K85" s="72"/>
    </row>
    <row r="86" ht="12.75" customHeight="1">
      <c r="A86" s="4"/>
      <c r="B86" s="4"/>
      <c r="C86" s="4"/>
      <c r="D86" s="4"/>
      <c r="E86" s="4"/>
      <c r="F86" s="4"/>
      <c r="G86" s="4"/>
      <c r="H86" s="72"/>
      <c r="I86" s="72"/>
      <c r="J86" s="72"/>
      <c r="K86" s="72"/>
    </row>
    <row r="87" ht="12.75" customHeight="1">
      <c r="A87" s="4"/>
      <c r="B87" s="4"/>
      <c r="C87" s="4"/>
      <c r="D87" s="4"/>
      <c r="E87" s="4"/>
      <c r="F87" s="4"/>
      <c r="G87" s="4"/>
      <c r="H87" s="72"/>
      <c r="I87" s="72"/>
      <c r="J87" s="72"/>
      <c r="K87" s="72"/>
    </row>
    <row r="88" ht="12.75" customHeight="1">
      <c r="A88" s="4"/>
      <c r="B88" s="4"/>
      <c r="C88" s="4"/>
      <c r="D88" s="4"/>
      <c r="E88" s="4"/>
      <c r="F88" s="4"/>
      <c r="G88" s="4"/>
      <c r="H88" s="72"/>
      <c r="I88" s="72"/>
      <c r="J88" s="72"/>
      <c r="K88" s="72"/>
    </row>
    <row r="89" ht="12.75" customHeight="1">
      <c r="A89" s="4"/>
      <c r="B89" s="4"/>
      <c r="C89" s="4"/>
      <c r="D89" s="4"/>
      <c r="E89" s="4"/>
      <c r="F89" s="4"/>
      <c r="G89" s="4"/>
      <c r="H89" s="72"/>
      <c r="I89" s="72"/>
      <c r="J89" s="72"/>
      <c r="K89" s="72"/>
    </row>
    <row r="90" ht="12.75" customHeight="1">
      <c r="A90" s="4"/>
      <c r="B90" s="4"/>
      <c r="C90" s="4"/>
      <c r="D90" s="4"/>
      <c r="E90" s="4"/>
      <c r="F90" s="4"/>
      <c r="G90" s="4"/>
      <c r="H90" s="72"/>
      <c r="I90" s="72"/>
      <c r="J90" s="72"/>
      <c r="K90" s="72"/>
    </row>
    <row r="91" ht="12.75" customHeight="1">
      <c r="A91" s="4"/>
      <c r="B91" s="4"/>
      <c r="C91" s="4"/>
      <c r="D91" s="4"/>
      <c r="E91" s="4"/>
      <c r="F91" s="4"/>
      <c r="G91" s="4"/>
      <c r="H91" s="72"/>
      <c r="I91" s="72"/>
      <c r="J91" s="72"/>
      <c r="K91" s="72"/>
    </row>
    <row r="92" ht="12.75" customHeight="1">
      <c r="A92" s="4"/>
      <c r="B92" s="4"/>
      <c r="C92" s="4"/>
      <c r="D92" s="4"/>
      <c r="E92" s="4"/>
      <c r="F92" s="4"/>
      <c r="G92" s="4"/>
      <c r="H92" s="72"/>
      <c r="I92" s="72"/>
      <c r="J92" s="72"/>
      <c r="K92" s="72"/>
    </row>
    <row r="93" ht="12.75" customHeight="1">
      <c r="A93" s="4"/>
      <c r="B93" s="4"/>
      <c r="C93" s="4"/>
      <c r="D93" s="4"/>
      <c r="E93" s="4"/>
      <c r="F93" s="4"/>
      <c r="G93" s="4"/>
      <c r="H93" s="72"/>
      <c r="I93" s="72"/>
      <c r="J93" s="72"/>
      <c r="K93" s="72"/>
    </row>
    <row r="94" ht="12.75" customHeight="1">
      <c r="A94" s="4"/>
      <c r="B94" s="4"/>
      <c r="C94" s="4"/>
      <c r="D94" s="4"/>
      <c r="E94" s="4"/>
      <c r="F94" s="4"/>
      <c r="G94" s="4"/>
      <c r="H94" s="72"/>
      <c r="I94" s="72"/>
      <c r="J94" s="72"/>
      <c r="K94" s="72"/>
    </row>
    <row r="95" ht="12.75" customHeight="1">
      <c r="A95" s="4"/>
      <c r="B95" s="4"/>
      <c r="C95" s="4"/>
      <c r="D95" s="4"/>
      <c r="E95" s="4"/>
      <c r="F95" s="4"/>
      <c r="G95" s="4"/>
      <c r="H95" s="72"/>
      <c r="I95" s="72"/>
      <c r="J95" s="72"/>
      <c r="K95" s="72"/>
    </row>
    <row r="96" ht="12.75" customHeight="1">
      <c r="A96" s="4"/>
      <c r="B96" s="4"/>
      <c r="C96" s="4"/>
      <c r="D96" s="4"/>
      <c r="E96" s="4"/>
      <c r="F96" s="4"/>
      <c r="G96" s="4"/>
      <c r="H96" s="72"/>
      <c r="I96" s="72"/>
      <c r="J96" s="72"/>
      <c r="K96" s="72"/>
    </row>
    <row r="97" ht="12.75" customHeight="1">
      <c r="A97" s="4"/>
      <c r="B97" s="4"/>
      <c r="C97" s="4"/>
      <c r="D97" s="4"/>
      <c r="E97" s="4"/>
      <c r="F97" s="4"/>
      <c r="G97" s="4"/>
      <c r="H97" s="72"/>
      <c r="I97" s="72"/>
      <c r="J97" s="72"/>
      <c r="K97" s="72"/>
    </row>
    <row r="98" ht="12.75" customHeight="1">
      <c r="A98" s="4"/>
      <c r="B98" s="4"/>
      <c r="C98" s="4"/>
      <c r="D98" s="4"/>
      <c r="E98" s="4"/>
      <c r="F98" s="4"/>
      <c r="G98" s="4"/>
      <c r="H98" s="72"/>
      <c r="I98" s="72"/>
      <c r="J98" s="72"/>
      <c r="K98" s="72"/>
    </row>
    <row r="99" ht="12.75" customHeight="1">
      <c r="A99" s="4"/>
      <c r="B99" s="4"/>
      <c r="C99" s="4"/>
      <c r="D99" s="4"/>
      <c r="E99" s="4"/>
      <c r="F99" s="4"/>
      <c r="G99" s="4"/>
      <c r="H99" s="72"/>
      <c r="I99" s="72"/>
      <c r="J99" s="72"/>
      <c r="K99" s="72"/>
    </row>
    <row r="100" ht="12.75" customHeight="1">
      <c r="A100" s="4"/>
      <c r="B100" s="4"/>
      <c r="C100" s="4"/>
      <c r="D100" s="4"/>
      <c r="E100" s="4"/>
      <c r="F100" s="4"/>
      <c r="G100" s="4"/>
      <c r="H100" s="72"/>
      <c r="I100" s="72"/>
      <c r="J100" s="72"/>
      <c r="K100" s="72"/>
    </row>
    <row r="101" ht="12.75" customHeight="1">
      <c r="A101" s="4"/>
      <c r="B101" s="4"/>
      <c r="C101" s="4"/>
      <c r="D101" s="4"/>
      <c r="E101" s="4"/>
      <c r="F101" s="4"/>
      <c r="G101" s="4"/>
      <c r="H101" s="72"/>
      <c r="I101" s="72"/>
      <c r="J101" s="72"/>
      <c r="K101" s="72"/>
    </row>
    <row r="102" ht="12.75" customHeight="1">
      <c r="A102" s="4"/>
      <c r="B102" s="4"/>
      <c r="C102" s="4"/>
      <c r="D102" s="4"/>
      <c r="E102" s="4"/>
      <c r="F102" s="4"/>
      <c r="G102" s="4"/>
      <c r="H102" s="72"/>
      <c r="I102" s="72"/>
      <c r="J102" s="72"/>
      <c r="K102" s="72"/>
    </row>
    <row r="103" ht="12.75" customHeight="1">
      <c r="A103" s="4"/>
      <c r="B103" s="4"/>
      <c r="C103" s="4"/>
      <c r="D103" s="4"/>
      <c r="E103" s="4"/>
      <c r="F103" s="4"/>
      <c r="G103" s="4"/>
      <c r="H103" s="72"/>
      <c r="I103" s="72"/>
      <c r="J103" s="72"/>
      <c r="K103" s="72"/>
    </row>
    <row r="104" ht="12.75" customHeight="1">
      <c r="A104" s="4"/>
      <c r="B104" s="4"/>
      <c r="C104" s="4"/>
      <c r="D104" s="4"/>
      <c r="E104" s="4"/>
      <c r="F104" s="4"/>
      <c r="G104" s="4"/>
      <c r="H104" s="72"/>
      <c r="I104" s="72"/>
      <c r="J104" s="72"/>
      <c r="K104" s="72"/>
    </row>
    <row r="105" ht="12.75" customHeight="1">
      <c r="A105" s="4"/>
      <c r="B105" s="4"/>
      <c r="C105" s="4"/>
      <c r="D105" s="4"/>
      <c r="E105" s="4"/>
      <c r="F105" s="4"/>
      <c r="G105" s="4"/>
      <c r="H105" s="72"/>
      <c r="I105" s="72"/>
      <c r="J105" s="72"/>
      <c r="K105" s="72"/>
    </row>
    <row r="106" ht="12.75" customHeight="1">
      <c r="A106" s="4"/>
      <c r="B106" s="4"/>
      <c r="C106" s="4"/>
      <c r="D106" s="4"/>
      <c r="E106" s="4"/>
      <c r="F106" s="4"/>
      <c r="G106" s="4"/>
      <c r="H106" s="72"/>
      <c r="I106" s="72"/>
      <c r="J106" s="72"/>
      <c r="K106" s="72"/>
    </row>
    <row r="107" ht="12.75" customHeight="1">
      <c r="A107" s="4"/>
      <c r="B107" s="4"/>
      <c r="C107" s="4"/>
      <c r="D107" s="4"/>
      <c r="E107" s="4"/>
      <c r="F107" s="4"/>
      <c r="G107" s="4"/>
      <c r="H107" s="72"/>
      <c r="I107" s="72"/>
      <c r="J107" s="72"/>
      <c r="K107" s="72"/>
    </row>
    <row r="108" ht="12.75" customHeight="1">
      <c r="A108" s="4"/>
      <c r="B108" s="4"/>
      <c r="C108" s="4"/>
      <c r="D108" s="4"/>
      <c r="E108" s="4"/>
      <c r="F108" s="4"/>
      <c r="G108" s="4"/>
      <c r="H108" s="72"/>
      <c r="I108" s="72"/>
      <c r="J108" s="72"/>
      <c r="K108" s="72"/>
    </row>
    <row r="109" ht="12.75" customHeight="1">
      <c r="A109" s="4"/>
      <c r="B109" s="4"/>
      <c r="C109" s="4"/>
      <c r="D109" s="4"/>
      <c r="E109" s="4"/>
      <c r="F109" s="4"/>
      <c r="G109" s="4"/>
      <c r="H109" s="72"/>
      <c r="I109" s="72"/>
      <c r="J109" s="72"/>
      <c r="K109" s="72"/>
    </row>
    <row r="110" ht="12.75" customHeight="1">
      <c r="A110" s="4"/>
      <c r="B110" s="4"/>
      <c r="C110" s="4"/>
      <c r="D110" s="4"/>
      <c r="E110" s="4"/>
      <c r="F110" s="4"/>
      <c r="G110" s="4"/>
      <c r="H110" s="72"/>
      <c r="I110" s="72"/>
      <c r="J110" s="72"/>
      <c r="K110" s="72"/>
    </row>
    <row r="111" ht="12.75" customHeight="1">
      <c r="A111" s="4"/>
      <c r="B111" s="4"/>
      <c r="C111" s="4"/>
      <c r="D111" s="4"/>
      <c r="E111" s="4"/>
      <c r="F111" s="4"/>
      <c r="G111" s="4"/>
      <c r="H111" s="72"/>
      <c r="I111" s="72"/>
      <c r="J111" s="72"/>
      <c r="K111" s="72"/>
    </row>
    <row r="112" ht="12.75" customHeight="1">
      <c r="A112" s="4"/>
      <c r="B112" s="4"/>
      <c r="C112" s="4"/>
      <c r="D112" s="4"/>
      <c r="E112" s="4"/>
      <c r="F112" s="4"/>
      <c r="G112" s="4"/>
      <c r="H112" s="72"/>
      <c r="I112" s="72"/>
      <c r="J112" s="72"/>
      <c r="K112" s="72"/>
    </row>
    <row r="113" ht="12.75" customHeight="1">
      <c r="A113" s="4"/>
      <c r="B113" s="4"/>
      <c r="C113" s="4"/>
      <c r="D113" s="4"/>
      <c r="E113" s="4"/>
      <c r="F113" s="4"/>
      <c r="G113" s="4"/>
      <c r="H113" s="72"/>
      <c r="I113" s="72"/>
      <c r="J113" s="72"/>
      <c r="K113" s="72"/>
    </row>
    <row r="114" ht="12.75" customHeight="1">
      <c r="A114" s="4"/>
      <c r="B114" s="4"/>
      <c r="C114" s="4"/>
      <c r="D114" s="4"/>
      <c r="E114" s="4"/>
      <c r="F114" s="4"/>
      <c r="G114" s="4"/>
      <c r="H114" s="72"/>
      <c r="I114" s="72"/>
      <c r="J114" s="72"/>
      <c r="K114" s="72"/>
    </row>
    <row r="115" ht="12.75" customHeight="1">
      <c r="A115" s="4"/>
      <c r="B115" s="4"/>
      <c r="C115" s="4"/>
      <c r="D115" s="4"/>
      <c r="E115" s="4"/>
      <c r="F115" s="4"/>
      <c r="G115" s="4"/>
      <c r="H115" s="72"/>
      <c r="I115" s="72"/>
      <c r="J115" s="72"/>
      <c r="K115" s="72"/>
    </row>
    <row r="116" ht="12.75" customHeight="1">
      <c r="A116" s="4"/>
      <c r="B116" s="4"/>
      <c r="C116" s="4"/>
      <c r="D116" s="4"/>
      <c r="E116" s="4"/>
      <c r="F116" s="4"/>
      <c r="G116" s="4"/>
      <c r="H116" s="72"/>
      <c r="I116" s="72"/>
      <c r="J116" s="72"/>
      <c r="K116" s="72"/>
    </row>
    <row r="117" ht="12.75" customHeight="1">
      <c r="A117" s="4"/>
      <c r="B117" s="4"/>
      <c r="C117" s="4"/>
      <c r="D117" s="4"/>
      <c r="E117" s="4"/>
      <c r="F117" s="4"/>
      <c r="G117" s="4"/>
      <c r="H117" s="72"/>
      <c r="I117" s="72"/>
      <c r="J117" s="72"/>
      <c r="K117" s="72"/>
    </row>
    <row r="118" ht="12.75" customHeight="1">
      <c r="A118" s="4"/>
      <c r="B118" s="4"/>
      <c r="C118" s="4"/>
      <c r="D118" s="4"/>
      <c r="E118" s="4"/>
      <c r="F118" s="4"/>
      <c r="G118" s="4"/>
      <c r="H118" s="72"/>
      <c r="I118" s="72"/>
      <c r="J118" s="72"/>
      <c r="K118" s="72"/>
    </row>
    <row r="119" ht="12.75" customHeight="1">
      <c r="A119" s="4"/>
      <c r="B119" s="4"/>
      <c r="C119" s="4"/>
      <c r="D119" s="4"/>
      <c r="E119" s="4"/>
      <c r="F119" s="4"/>
      <c r="G119" s="4"/>
      <c r="H119" s="72"/>
      <c r="I119" s="72"/>
      <c r="J119" s="72"/>
      <c r="K119" s="72"/>
    </row>
    <row r="120" ht="12.75" customHeight="1">
      <c r="A120" s="4"/>
      <c r="B120" s="4"/>
      <c r="C120" s="4"/>
      <c r="D120" s="4"/>
      <c r="E120" s="4"/>
      <c r="F120" s="4"/>
      <c r="G120" s="4"/>
      <c r="H120" s="72"/>
      <c r="I120" s="72"/>
      <c r="J120" s="72"/>
      <c r="K120" s="72"/>
    </row>
    <row r="121" ht="12.75" customHeight="1">
      <c r="A121" s="4"/>
      <c r="B121" s="4"/>
      <c r="C121" s="4"/>
      <c r="D121" s="4"/>
      <c r="E121" s="4"/>
      <c r="F121" s="4"/>
      <c r="G121" s="4"/>
      <c r="H121" s="72"/>
      <c r="I121" s="72"/>
      <c r="J121" s="72"/>
      <c r="K121" s="72"/>
    </row>
    <row r="122" ht="12.75" customHeight="1">
      <c r="A122" s="4"/>
      <c r="B122" s="4"/>
      <c r="C122" s="4"/>
      <c r="D122" s="4"/>
      <c r="E122" s="4"/>
      <c r="F122" s="4"/>
      <c r="G122" s="4"/>
      <c r="H122" s="72"/>
      <c r="I122" s="72"/>
      <c r="J122" s="72"/>
      <c r="K122" s="72"/>
    </row>
    <row r="123" ht="12.75" customHeight="1">
      <c r="A123" s="4"/>
      <c r="B123" s="4"/>
      <c r="C123" s="4"/>
      <c r="D123" s="4"/>
      <c r="E123" s="4"/>
      <c r="F123" s="4"/>
      <c r="G123" s="4"/>
      <c r="H123" s="72"/>
      <c r="I123" s="72"/>
      <c r="J123" s="72"/>
      <c r="K123" s="72"/>
    </row>
    <row r="124" ht="12.75" customHeight="1">
      <c r="A124" s="4"/>
      <c r="B124" s="4"/>
      <c r="C124" s="4"/>
      <c r="D124" s="4"/>
      <c r="E124" s="4"/>
      <c r="F124" s="4"/>
      <c r="G124" s="4"/>
      <c r="H124" s="72"/>
      <c r="I124" s="72"/>
      <c r="J124" s="72"/>
      <c r="K124" s="72"/>
    </row>
    <row r="125" ht="12.75" customHeight="1">
      <c r="A125" s="4"/>
      <c r="B125" s="4"/>
      <c r="C125" s="4"/>
      <c r="D125" s="4"/>
      <c r="E125" s="4"/>
      <c r="F125" s="4"/>
      <c r="G125" s="4"/>
      <c r="H125" s="72"/>
      <c r="I125" s="72"/>
      <c r="J125" s="72"/>
      <c r="K125" s="72"/>
    </row>
    <row r="126" ht="12.75" customHeight="1">
      <c r="A126" s="4"/>
      <c r="B126" s="4"/>
      <c r="C126" s="4"/>
      <c r="D126" s="4"/>
      <c r="E126" s="4"/>
      <c r="F126" s="4"/>
      <c r="G126" s="4"/>
      <c r="H126" s="72"/>
      <c r="I126" s="72"/>
      <c r="J126" s="72"/>
      <c r="K126" s="72"/>
    </row>
    <row r="127" ht="12.75" customHeight="1">
      <c r="A127" s="4"/>
      <c r="B127" s="4"/>
      <c r="C127" s="4"/>
      <c r="D127" s="4"/>
      <c r="E127" s="4"/>
      <c r="F127" s="4"/>
      <c r="G127" s="4"/>
      <c r="H127" s="72"/>
      <c r="I127" s="72"/>
      <c r="J127" s="72"/>
      <c r="K127" s="72"/>
    </row>
    <row r="128" ht="12.75" customHeight="1">
      <c r="A128" s="4"/>
      <c r="B128" s="4"/>
      <c r="C128" s="4"/>
      <c r="D128" s="4"/>
      <c r="E128" s="4"/>
      <c r="F128" s="4"/>
      <c r="G128" s="4"/>
      <c r="H128" s="72"/>
      <c r="I128" s="72"/>
      <c r="J128" s="72"/>
      <c r="K128" s="72"/>
    </row>
    <row r="129" ht="12.75" customHeight="1">
      <c r="A129" s="4"/>
      <c r="B129" s="4"/>
      <c r="C129" s="4"/>
      <c r="D129" s="4"/>
      <c r="E129" s="4"/>
      <c r="F129" s="4"/>
      <c r="G129" s="4"/>
      <c r="H129" s="72"/>
      <c r="I129" s="72"/>
      <c r="J129" s="72"/>
      <c r="K129" s="72"/>
    </row>
    <row r="130" ht="12.75" customHeight="1">
      <c r="A130" s="4"/>
      <c r="B130" s="4"/>
      <c r="C130" s="4"/>
      <c r="D130" s="4"/>
      <c r="E130" s="4"/>
      <c r="F130" s="4"/>
      <c r="G130" s="4"/>
      <c r="H130" s="72"/>
      <c r="I130" s="72"/>
      <c r="J130" s="72"/>
      <c r="K130" s="72"/>
    </row>
    <row r="131" ht="12.75" customHeight="1">
      <c r="A131" s="4"/>
      <c r="B131" s="4"/>
      <c r="C131" s="4"/>
      <c r="D131" s="4"/>
      <c r="E131" s="4"/>
      <c r="F131" s="4"/>
      <c r="G131" s="4"/>
      <c r="H131" s="72"/>
      <c r="I131" s="72"/>
      <c r="J131" s="72"/>
      <c r="K131" s="72"/>
    </row>
    <row r="132" ht="12.75" customHeight="1">
      <c r="A132" s="4"/>
      <c r="B132" s="4"/>
      <c r="C132" s="4"/>
      <c r="D132" s="4"/>
      <c r="E132" s="4"/>
      <c r="F132" s="4"/>
      <c r="G132" s="4"/>
      <c r="H132" s="72"/>
      <c r="I132" s="72"/>
      <c r="J132" s="72"/>
      <c r="K132" s="72"/>
    </row>
    <row r="133" ht="12.75" customHeight="1">
      <c r="A133" s="4"/>
      <c r="B133" s="4"/>
      <c r="C133" s="4"/>
      <c r="D133" s="4"/>
      <c r="E133" s="4"/>
      <c r="F133" s="4"/>
      <c r="G133" s="4"/>
      <c r="H133" s="72"/>
      <c r="I133" s="72"/>
      <c r="J133" s="72"/>
      <c r="K133" s="72"/>
    </row>
    <row r="134" ht="12.75" customHeight="1">
      <c r="A134" s="4"/>
      <c r="B134" s="4"/>
      <c r="C134" s="4"/>
      <c r="D134" s="4"/>
      <c r="E134" s="4"/>
      <c r="F134" s="4"/>
      <c r="G134" s="4"/>
      <c r="H134" s="72"/>
      <c r="I134" s="72"/>
      <c r="J134" s="72"/>
      <c r="K134" s="72"/>
    </row>
    <row r="135" ht="12.75" customHeight="1">
      <c r="A135" s="4"/>
      <c r="B135" s="4"/>
      <c r="C135" s="4"/>
      <c r="D135" s="4"/>
      <c r="E135" s="4"/>
      <c r="F135" s="4"/>
      <c r="G135" s="4"/>
      <c r="H135" s="72"/>
      <c r="I135" s="72"/>
      <c r="J135" s="72"/>
      <c r="K135" s="72"/>
    </row>
    <row r="136" ht="12.75" customHeight="1">
      <c r="A136" s="4"/>
      <c r="B136" s="4"/>
      <c r="C136" s="4"/>
      <c r="D136" s="4"/>
      <c r="E136" s="4"/>
      <c r="F136" s="4"/>
      <c r="G136" s="4"/>
      <c r="H136" s="72"/>
      <c r="I136" s="72"/>
      <c r="J136" s="72"/>
      <c r="K136" s="72"/>
    </row>
    <row r="137" ht="12.75" customHeight="1">
      <c r="A137" s="4"/>
      <c r="B137" s="4"/>
      <c r="C137" s="4"/>
      <c r="D137" s="4"/>
      <c r="E137" s="4"/>
      <c r="F137" s="4"/>
      <c r="G137" s="4"/>
      <c r="H137" s="72"/>
      <c r="I137" s="72"/>
      <c r="J137" s="72"/>
      <c r="K137" s="72"/>
    </row>
    <row r="138" ht="12.75" customHeight="1">
      <c r="A138" s="4"/>
      <c r="B138" s="4"/>
      <c r="C138" s="4"/>
      <c r="D138" s="4"/>
      <c r="E138" s="4"/>
      <c r="F138" s="4"/>
      <c r="G138" s="4"/>
      <c r="H138" s="72"/>
      <c r="I138" s="72"/>
      <c r="J138" s="72"/>
      <c r="K138" s="72"/>
    </row>
    <row r="139" ht="12.75" customHeight="1">
      <c r="A139" s="4"/>
      <c r="B139" s="4"/>
      <c r="C139" s="4"/>
      <c r="D139" s="4"/>
      <c r="E139" s="4"/>
      <c r="F139" s="4"/>
      <c r="G139" s="4"/>
      <c r="H139" s="72"/>
      <c r="I139" s="72"/>
      <c r="J139" s="72"/>
      <c r="K139" s="72"/>
    </row>
    <row r="140" ht="12.75" customHeight="1">
      <c r="A140" s="4"/>
      <c r="B140" s="4"/>
      <c r="C140" s="4"/>
      <c r="D140" s="4"/>
      <c r="E140" s="4"/>
      <c r="F140" s="4"/>
      <c r="G140" s="4"/>
      <c r="H140" s="72"/>
      <c r="I140" s="72"/>
      <c r="J140" s="72"/>
      <c r="K140" s="72"/>
    </row>
    <row r="141" ht="12.75" customHeight="1">
      <c r="A141" s="4"/>
      <c r="B141" s="4"/>
      <c r="C141" s="4"/>
      <c r="D141" s="4"/>
      <c r="E141" s="4"/>
      <c r="F141" s="4"/>
      <c r="G141" s="4"/>
      <c r="H141" s="72"/>
      <c r="I141" s="72"/>
      <c r="J141" s="72"/>
      <c r="K141" s="72"/>
    </row>
    <row r="142" ht="12.75" customHeight="1">
      <c r="A142" s="4"/>
      <c r="B142" s="4"/>
      <c r="C142" s="4"/>
      <c r="D142" s="4"/>
      <c r="E142" s="4"/>
      <c r="F142" s="4"/>
      <c r="G142" s="4"/>
      <c r="H142" s="72"/>
      <c r="I142" s="72"/>
      <c r="J142" s="72"/>
      <c r="K142" s="72"/>
    </row>
    <row r="143" ht="12.75" customHeight="1">
      <c r="A143" s="4"/>
      <c r="B143" s="4"/>
      <c r="C143" s="4"/>
      <c r="D143" s="4"/>
      <c r="E143" s="4"/>
      <c r="F143" s="4"/>
      <c r="G143" s="4"/>
      <c r="H143" s="72"/>
      <c r="I143" s="72"/>
      <c r="J143" s="72"/>
      <c r="K143" s="72"/>
    </row>
    <row r="144" ht="12.75" customHeight="1">
      <c r="A144" s="4"/>
      <c r="B144" s="4"/>
      <c r="C144" s="4"/>
      <c r="D144" s="4"/>
      <c r="E144" s="4"/>
      <c r="F144" s="4"/>
      <c r="G144" s="4"/>
      <c r="H144" s="72"/>
      <c r="I144" s="72"/>
      <c r="J144" s="72"/>
      <c r="K144" s="72"/>
    </row>
    <row r="145" ht="12.75" customHeight="1">
      <c r="A145" s="4"/>
      <c r="B145" s="4"/>
      <c r="C145" s="4"/>
      <c r="D145" s="4"/>
      <c r="E145" s="4"/>
      <c r="F145" s="4"/>
      <c r="G145" s="4"/>
      <c r="H145" s="72"/>
      <c r="I145" s="72"/>
      <c r="J145" s="72"/>
      <c r="K145" s="72"/>
    </row>
    <row r="146" ht="12.75" customHeight="1">
      <c r="A146" s="4"/>
      <c r="B146" s="4"/>
      <c r="C146" s="4"/>
      <c r="D146" s="4"/>
      <c r="E146" s="4"/>
      <c r="F146" s="4"/>
      <c r="G146" s="4"/>
      <c r="H146" s="72"/>
      <c r="I146" s="72"/>
      <c r="J146" s="72"/>
      <c r="K146" s="72"/>
    </row>
    <row r="147" ht="12.75" customHeight="1">
      <c r="A147" s="4"/>
      <c r="B147" s="4"/>
      <c r="C147" s="4"/>
      <c r="D147" s="4"/>
      <c r="E147" s="4"/>
      <c r="F147" s="4"/>
      <c r="G147" s="4"/>
      <c r="H147" s="72"/>
      <c r="I147" s="72"/>
      <c r="J147" s="72"/>
      <c r="K147" s="72"/>
    </row>
    <row r="148" ht="12.75" customHeight="1">
      <c r="A148" s="4"/>
      <c r="B148" s="4"/>
      <c r="C148" s="4"/>
      <c r="D148" s="4"/>
      <c r="E148" s="4"/>
      <c r="F148" s="4"/>
      <c r="G148" s="4"/>
      <c r="H148" s="72"/>
      <c r="I148" s="72"/>
      <c r="J148" s="72"/>
      <c r="K148" s="72"/>
    </row>
    <row r="149" ht="12.75" customHeight="1">
      <c r="A149" s="4"/>
      <c r="B149" s="4"/>
      <c r="C149" s="4"/>
      <c r="D149" s="4"/>
      <c r="E149" s="4"/>
      <c r="F149" s="4"/>
      <c r="G149" s="4"/>
      <c r="H149" s="72"/>
      <c r="I149" s="72"/>
      <c r="J149" s="72"/>
      <c r="K149" s="72"/>
    </row>
    <row r="150" ht="12.75" customHeight="1">
      <c r="A150" s="4"/>
      <c r="B150" s="4"/>
      <c r="C150" s="4"/>
      <c r="D150" s="4"/>
      <c r="E150" s="4"/>
      <c r="F150" s="4"/>
      <c r="G150" s="4"/>
      <c r="H150" s="72"/>
      <c r="I150" s="72"/>
      <c r="J150" s="72"/>
      <c r="K150" s="72"/>
    </row>
    <row r="151" ht="12.75" customHeight="1">
      <c r="A151" s="4"/>
      <c r="B151" s="4"/>
      <c r="C151" s="4"/>
      <c r="D151" s="4"/>
      <c r="E151" s="4"/>
      <c r="F151" s="4"/>
      <c r="G151" s="4"/>
      <c r="H151" s="72"/>
      <c r="I151" s="72"/>
      <c r="J151" s="72"/>
      <c r="K151" s="72"/>
    </row>
    <row r="152" ht="12.75" customHeight="1">
      <c r="A152" s="4"/>
      <c r="B152" s="4"/>
      <c r="C152" s="4"/>
      <c r="D152" s="4"/>
      <c r="E152" s="4"/>
      <c r="F152" s="4"/>
      <c r="G152" s="4"/>
      <c r="H152" s="72"/>
      <c r="I152" s="72"/>
      <c r="J152" s="72"/>
      <c r="K152" s="72"/>
    </row>
    <row r="153" ht="12.75" customHeight="1">
      <c r="A153" s="4"/>
      <c r="B153" s="4"/>
      <c r="C153" s="4"/>
      <c r="D153" s="4"/>
      <c r="E153" s="4"/>
      <c r="F153" s="4"/>
      <c r="G153" s="4"/>
      <c r="H153" s="72"/>
      <c r="I153" s="72"/>
      <c r="J153" s="72"/>
      <c r="K153" s="72"/>
    </row>
    <row r="154" ht="12.75" customHeight="1">
      <c r="A154" s="4"/>
      <c r="B154" s="4"/>
      <c r="C154" s="4"/>
      <c r="D154" s="4"/>
      <c r="E154" s="4"/>
      <c r="F154" s="4"/>
      <c r="G154" s="4"/>
      <c r="H154" s="72"/>
      <c r="I154" s="72"/>
      <c r="J154" s="72"/>
      <c r="K154" s="72"/>
    </row>
    <row r="155" ht="12.75" customHeight="1">
      <c r="A155" s="4"/>
      <c r="B155" s="4"/>
      <c r="C155" s="4"/>
      <c r="D155" s="4"/>
      <c r="E155" s="4"/>
      <c r="F155" s="4"/>
      <c r="G155" s="4"/>
      <c r="H155" s="72"/>
      <c r="I155" s="72"/>
      <c r="J155" s="72"/>
      <c r="K155" s="72"/>
    </row>
    <row r="156" ht="12.75" customHeight="1">
      <c r="A156" s="4"/>
      <c r="B156" s="4"/>
      <c r="C156" s="4"/>
      <c r="D156" s="4"/>
      <c r="E156" s="4"/>
      <c r="F156" s="4"/>
      <c r="G156" s="4"/>
      <c r="H156" s="72"/>
      <c r="I156" s="72"/>
      <c r="J156" s="72"/>
      <c r="K156" s="72"/>
    </row>
    <row r="157" ht="12.75" customHeight="1">
      <c r="A157" s="4"/>
      <c r="B157" s="4"/>
      <c r="C157" s="4"/>
      <c r="D157" s="4"/>
      <c r="E157" s="4"/>
      <c r="F157" s="4"/>
      <c r="G157" s="4"/>
      <c r="H157" s="72"/>
      <c r="I157" s="72"/>
      <c r="J157" s="72"/>
      <c r="K157" s="72"/>
    </row>
    <row r="158" ht="12.75" customHeight="1">
      <c r="A158" s="4"/>
      <c r="B158" s="4"/>
      <c r="C158" s="4"/>
      <c r="D158" s="4"/>
      <c r="E158" s="4"/>
      <c r="F158" s="4"/>
      <c r="G158" s="4"/>
      <c r="H158" s="72"/>
      <c r="I158" s="72"/>
      <c r="J158" s="72"/>
      <c r="K158" s="72"/>
    </row>
    <row r="159" ht="12.75" customHeight="1">
      <c r="A159" s="4"/>
      <c r="B159" s="4"/>
      <c r="C159" s="4"/>
      <c r="D159" s="4"/>
      <c r="E159" s="4"/>
      <c r="F159" s="4"/>
      <c r="G159" s="4"/>
      <c r="H159" s="72"/>
      <c r="I159" s="72"/>
      <c r="J159" s="72"/>
      <c r="K159" s="72"/>
    </row>
    <row r="160" ht="12.75" customHeight="1">
      <c r="A160" s="4"/>
      <c r="B160" s="4"/>
      <c r="C160" s="4"/>
      <c r="D160" s="4"/>
      <c r="E160" s="4"/>
      <c r="F160" s="4"/>
      <c r="G160" s="4"/>
      <c r="H160" s="72"/>
      <c r="I160" s="72"/>
      <c r="J160" s="72"/>
      <c r="K160" s="72"/>
    </row>
    <row r="161" ht="12.75" customHeight="1">
      <c r="A161" s="4"/>
      <c r="B161" s="4"/>
      <c r="C161" s="4"/>
      <c r="D161" s="4"/>
      <c r="E161" s="4"/>
      <c r="F161" s="4"/>
      <c r="G161" s="4"/>
      <c r="H161" s="72"/>
      <c r="I161" s="72"/>
      <c r="J161" s="72"/>
      <c r="K161" s="72"/>
    </row>
    <row r="162" ht="12.75" customHeight="1">
      <c r="A162" s="4"/>
      <c r="B162" s="4"/>
      <c r="C162" s="4"/>
      <c r="D162" s="4"/>
      <c r="E162" s="4"/>
      <c r="F162" s="4"/>
      <c r="G162" s="4"/>
      <c r="H162" s="72"/>
      <c r="I162" s="72"/>
      <c r="J162" s="72"/>
      <c r="K162" s="72"/>
    </row>
    <row r="163" ht="12.75" customHeight="1">
      <c r="A163" s="4"/>
      <c r="B163" s="4"/>
      <c r="C163" s="4"/>
      <c r="D163" s="4"/>
      <c r="E163" s="4"/>
      <c r="F163" s="4"/>
      <c r="G163" s="4"/>
      <c r="H163" s="72"/>
      <c r="I163" s="72"/>
      <c r="J163" s="72"/>
      <c r="K163" s="72"/>
    </row>
    <row r="164" ht="12.75" customHeight="1">
      <c r="A164" s="4"/>
      <c r="B164" s="4"/>
      <c r="C164" s="4"/>
      <c r="D164" s="4"/>
      <c r="E164" s="4"/>
      <c r="F164" s="4"/>
      <c r="G164" s="4"/>
      <c r="H164" s="72"/>
      <c r="I164" s="72"/>
      <c r="J164" s="72"/>
      <c r="K164" s="72"/>
    </row>
    <row r="165" ht="12.75" customHeight="1">
      <c r="A165" s="4"/>
      <c r="B165" s="4"/>
      <c r="C165" s="4"/>
      <c r="D165" s="4"/>
      <c r="E165" s="4"/>
      <c r="F165" s="4"/>
      <c r="G165" s="4"/>
      <c r="H165" s="72"/>
      <c r="I165" s="72"/>
      <c r="J165" s="72"/>
      <c r="K165" s="72"/>
    </row>
    <row r="166" ht="12.75" customHeight="1">
      <c r="A166" s="4"/>
      <c r="B166" s="4"/>
      <c r="C166" s="4"/>
      <c r="D166" s="4"/>
      <c r="E166" s="4"/>
      <c r="F166" s="4"/>
      <c r="G166" s="4"/>
      <c r="H166" s="72"/>
      <c r="I166" s="72"/>
      <c r="J166" s="72"/>
      <c r="K166" s="72"/>
    </row>
    <row r="167" ht="12.75" customHeight="1">
      <c r="A167" s="4"/>
      <c r="B167" s="4"/>
      <c r="C167" s="4"/>
      <c r="D167" s="4"/>
      <c r="E167" s="4"/>
      <c r="F167" s="4"/>
      <c r="G167" s="4"/>
      <c r="H167" s="72"/>
      <c r="I167" s="72"/>
      <c r="J167" s="72"/>
      <c r="K167" s="72"/>
    </row>
    <row r="168" ht="12.75" customHeight="1">
      <c r="A168" s="4"/>
      <c r="B168" s="4"/>
      <c r="C168" s="4"/>
      <c r="D168" s="4"/>
      <c r="E168" s="4"/>
      <c r="F168" s="4"/>
      <c r="G168" s="4"/>
      <c r="H168" s="72"/>
      <c r="I168" s="72"/>
      <c r="J168" s="72"/>
      <c r="K168" s="72"/>
    </row>
    <row r="169" ht="12.75" customHeight="1">
      <c r="A169" s="4"/>
      <c r="B169" s="4"/>
      <c r="C169" s="4"/>
      <c r="D169" s="4"/>
      <c r="E169" s="4"/>
      <c r="F169" s="4"/>
      <c r="G169" s="4"/>
      <c r="H169" s="72"/>
      <c r="I169" s="72"/>
      <c r="J169" s="72"/>
      <c r="K169" s="72"/>
    </row>
    <row r="170" ht="12.75" customHeight="1">
      <c r="A170" s="4"/>
      <c r="B170" s="4"/>
      <c r="C170" s="4"/>
      <c r="D170" s="4"/>
      <c r="E170" s="4"/>
      <c r="F170" s="4"/>
      <c r="G170" s="4"/>
      <c r="H170" s="72"/>
      <c r="I170" s="72"/>
      <c r="J170" s="72"/>
      <c r="K170" s="72"/>
    </row>
    <row r="171" ht="12.75" customHeight="1">
      <c r="A171" s="4"/>
      <c r="B171" s="4"/>
      <c r="C171" s="4"/>
      <c r="D171" s="4"/>
      <c r="E171" s="4"/>
      <c r="F171" s="4"/>
      <c r="G171" s="4"/>
      <c r="H171" s="72"/>
      <c r="I171" s="72"/>
      <c r="J171" s="72"/>
      <c r="K171" s="72"/>
    </row>
    <row r="172" ht="12.75" customHeight="1">
      <c r="A172" s="4"/>
      <c r="B172" s="4"/>
      <c r="C172" s="4"/>
      <c r="D172" s="4"/>
      <c r="E172" s="4"/>
      <c r="F172" s="4"/>
      <c r="G172" s="4"/>
      <c r="H172" s="72"/>
      <c r="I172" s="72"/>
      <c r="J172" s="72"/>
      <c r="K172" s="72"/>
    </row>
    <row r="173" ht="12.75" customHeight="1">
      <c r="A173" s="4"/>
      <c r="B173" s="4"/>
      <c r="C173" s="4"/>
      <c r="D173" s="4"/>
      <c r="E173" s="4"/>
      <c r="F173" s="4"/>
      <c r="G173" s="4"/>
      <c r="H173" s="72"/>
      <c r="I173" s="72"/>
      <c r="J173" s="72"/>
      <c r="K173" s="72"/>
    </row>
    <row r="174" ht="12.75" customHeight="1">
      <c r="A174" s="4"/>
      <c r="B174" s="4"/>
      <c r="C174" s="4"/>
      <c r="D174" s="4"/>
      <c r="E174" s="4"/>
      <c r="F174" s="4"/>
      <c r="G174" s="4"/>
      <c r="H174" s="72"/>
      <c r="I174" s="72"/>
      <c r="J174" s="72"/>
      <c r="K174" s="72"/>
    </row>
    <row r="175" ht="12.75" customHeight="1">
      <c r="A175" s="4"/>
      <c r="B175" s="4"/>
      <c r="C175" s="4"/>
      <c r="D175" s="4"/>
      <c r="E175" s="4"/>
      <c r="F175" s="4"/>
      <c r="G175" s="4"/>
      <c r="H175" s="72"/>
      <c r="I175" s="72"/>
      <c r="J175" s="72"/>
      <c r="K175" s="72"/>
    </row>
    <row r="176" ht="12.75" customHeight="1">
      <c r="A176" s="4"/>
      <c r="B176" s="4"/>
      <c r="C176" s="4"/>
      <c r="D176" s="4"/>
      <c r="E176" s="4"/>
      <c r="F176" s="4"/>
      <c r="G176" s="4"/>
      <c r="H176" s="72"/>
      <c r="I176" s="72"/>
      <c r="J176" s="72"/>
      <c r="K176" s="72"/>
    </row>
    <row r="177" ht="12.75" customHeight="1">
      <c r="A177" s="4"/>
      <c r="B177" s="4"/>
      <c r="C177" s="4"/>
      <c r="D177" s="4"/>
      <c r="E177" s="4"/>
      <c r="F177" s="4"/>
      <c r="G177" s="4"/>
      <c r="H177" s="72"/>
      <c r="I177" s="72"/>
      <c r="J177" s="72"/>
      <c r="K177" s="72"/>
    </row>
    <row r="178" ht="12.75" customHeight="1">
      <c r="A178" s="4"/>
      <c r="B178" s="4"/>
      <c r="C178" s="4"/>
      <c r="D178" s="4"/>
      <c r="E178" s="4"/>
      <c r="F178" s="4"/>
      <c r="G178" s="4"/>
      <c r="H178" s="72"/>
      <c r="I178" s="72"/>
      <c r="J178" s="72"/>
      <c r="K178" s="72"/>
    </row>
    <row r="179" ht="12.75" customHeight="1">
      <c r="A179" s="4"/>
      <c r="B179" s="4"/>
      <c r="C179" s="4"/>
      <c r="D179" s="4"/>
      <c r="E179" s="4"/>
      <c r="F179" s="4"/>
      <c r="G179" s="4"/>
      <c r="H179" s="72"/>
      <c r="I179" s="72"/>
      <c r="J179" s="72"/>
      <c r="K179" s="72"/>
    </row>
    <row r="180" ht="12.75" customHeight="1">
      <c r="A180" s="4"/>
      <c r="B180" s="4"/>
      <c r="C180" s="4"/>
      <c r="D180" s="4"/>
      <c r="E180" s="4"/>
      <c r="F180" s="4"/>
      <c r="G180" s="4"/>
      <c r="H180" s="72"/>
      <c r="I180" s="72"/>
      <c r="J180" s="72"/>
      <c r="K180" s="72"/>
    </row>
    <row r="181" ht="12.75" customHeight="1">
      <c r="A181" s="4"/>
      <c r="B181" s="4"/>
      <c r="C181" s="4"/>
      <c r="D181" s="4"/>
      <c r="E181" s="4"/>
      <c r="F181" s="4"/>
      <c r="G181" s="4"/>
      <c r="H181" s="72"/>
      <c r="I181" s="72"/>
      <c r="J181" s="72"/>
      <c r="K181" s="72"/>
    </row>
    <row r="182" ht="12.75" customHeight="1">
      <c r="A182" s="4"/>
      <c r="B182" s="4"/>
      <c r="C182" s="4"/>
      <c r="D182" s="4"/>
      <c r="E182" s="4"/>
      <c r="F182" s="4"/>
      <c r="G182" s="4"/>
      <c r="H182" s="72"/>
      <c r="I182" s="72"/>
      <c r="J182" s="72"/>
      <c r="K182" s="72"/>
    </row>
    <row r="183" ht="12.75" customHeight="1">
      <c r="A183" s="4"/>
      <c r="B183" s="4"/>
      <c r="C183" s="4"/>
      <c r="D183" s="4"/>
      <c r="E183" s="4"/>
      <c r="F183" s="4"/>
      <c r="G183" s="4"/>
      <c r="H183" s="72"/>
      <c r="I183" s="72"/>
      <c r="J183" s="72"/>
      <c r="K183" s="72"/>
    </row>
    <row r="184" ht="12.75" customHeight="1">
      <c r="A184" s="4"/>
      <c r="B184" s="4"/>
      <c r="C184" s="4"/>
      <c r="D184" s="4"/>
      <c r="E184" s="4"/>
      <c r="F184" s="4"/>
      <c r="G184" s="4"/>
      <c r="H184" s="72"/>
      <c r="I184" s="72"/>
      <c r="J184" s="72"/>
      <c r="K184" s="72"/>
    </row>
    <row r="185" ht="12.75" customHeight="1">
      <c r="A185" s="4"/>
      <c r="B185" s="4"/>
      <c r="C185" s="4"/>
      <c r="D185" s="4"/>
      <c r="E185" s="4"/>
      <c r="F185" s="4"/>
      <c r="G185" s="4"/>
      <c r="H185" s="72"/>
      <c r="I185" s="72"/>
      <c r="J185" s="72"/>
      <c r="K185" s="72"/>
    </row>
    <row r="186" ht="12.75" customHeight="1">
      <c r="A186" s="4"/>
      <c r="B186" s="4"/>
      <c r="C186" s="4"/>
      <c r="D186" s="4"/>
      <c r="E186" s="4"/>
      <c r="F186" s="4"/>
      <c r="G186" s="4"/>
      <c r="H186" s="72"/>
      <c r="I186" s="72"/>
      <c r="J186" s="72"/>
      <c r="K186" s="72"/>
    </row>
    <row r="187" ht="12.75" customHeight="1">
      <c r="A187" s="4"/>
      <c r="B187" s="4"/>
      <c r="C187" s="4"/>
      <c r="D187" s="4"/>
      <c r="E187" s="4"/>
      <c r="F187" s="4"/>
      <c r="G187" s="4"/>
      <c r="H187" s="72"/>
      <c r="I187" s="72"/>
      <c r="J187" s="72"/>
      <c r="K187" s="72"/>
    </row>
    <row r="188" ht="12.75" customHeight="1">
      <c r="A188" s="4"/>
      <c r="B188" s="4"/>
      <c r="C188" s="4"/>
      <c r="D188" s="4"/>
      <c r="E188" s="4"/>
      <c r="F188" s="4"/>
      <c r="G188" s="4"/>
      <c r="H188" s="72"/>
      <c r="I188" s="72"/>
      <c r="J188" s="72"/>
      <c r="K188" s="72"/>
    </row>
    <row r="189" ht="12.75" customHeight="1">
      <c r="A189" s="4"/>
      <c r="B189" s="4"/>
      <c r="C189" s="4"/>
      <c r="D189" s="4"/>
      <c r="E189" s="4"/>
      <c r="F189" s="4"/>
      <c r="G189" s="4"/>
      <c r="H189" s="72"/>
      <c r="I189" s="72"/>
      <c r="J189" s="72"/>
      <c r="K189" s="72"/>
    </row>
    <row r="190" ht="12.75" customHeight="1">
      <c r="A190" s="4"/>
      <c r="B190" s="4"/>
      <c r="C190" s="4"/>
      <c r="D190" s="4"/>
      <c r="E190" s="4"/>
      <c r="F190" s="4"/>
      <c r="G190" s="4"/>
      <c r="H190" s="72"/>
      <c r="I190" s="72"/>
      <c r="J190" s="72"/>
      <c r="K190" s="72"/>
    </row>
    <row r="191" ht="12.75" customHeight="1">
      <c r="A191" s="4"/>
      <c r="B191" s="4"/>
      <c r="C191" s="4"/>
      <c r="D191" s="4"/>
      <c r="E191" s="4"/>
      <c r="F191" s="4"/>
      <c r="G191" s="4"/>
      <c r="H191" s="72"/>
      <c r="I191" s="72"/>
      <c r="J191" s="72"/>
      <c r="K191" s="72"/>
    </row>
    <row r="192" ht="12.75" customHeight="1">
      <c r="A192" s="4"/>
      <c r="B192" s="4"/>
      <c r="C192" s="4"/>
      <c r="D192" s="4"/>
      <c r="E192" s="4"/>
      <c r="F192" s="4"/>
      <c r="G192" s="4"/>
      <c r="H192" s="72"/>
      <c r="I192" s="72"/>
      <c r="J192" s="72"/>
      <c r="K192" s="72"/>
    </row>
    <row r="193" ht="12.75" customHeight="1">
      <c r="A193" s="4"/>
      <c r="B193" s="4"/>
      <c r="C193" s="4"/>
      <c r="D193" s="4"/>
      <c r="E193" s="4"/>
      <c r="F193" s="4"/>
      <c r="G193" s="4"/>
      <c r="H193" s="72"/>
      <c r="I193" s="72"/>
      <c r="J193" s="72"/>
      <c r="K193" s="72"/>
    </row>
    <row r="194" ht="12.75" customHeight="1">
      <c r="A194" s="4"/>
      <c r="B194" s="4"/>
      <c r="C194" s="4"/>
      <c r="D194" s="4"/>
      <c r="E194" s="4"/>
      <c r="F194" s="4"/>
      <c r="G194" s="4"/>
      <c r="H194" s="72"/>
      <c r="I194" s="72"/>
      <c r="J194" s="72"/>
      <c r="K194" s="72"/>
    </row>
    <row r="195" ht="12.75" customHeight="1">
      <c r="A195" s="4"/>
      <c r="B195" s="4"/>
      <c r="C195" s="4"/>
      <c r="D195" s="4"/>
      <c r="E195" s="4"/>
      <c r="F195" s="4"/>
      <c r="G195" s="4"/>
      <c r="H195" s="72"/>
      <c r="I195" s="72"/>
      <c r="J195" s="72"/>
      <c r="K195" s="72"/>
    </row>
    <row r="196" ht="12.75" customHeight="1">
      <c r="A196" s="4"/>
      <c r="B196" s="4"/>
      <c r="C196" s="4"/>
      <c r="D196" s="4"/>
      <c r="E196" s="4"/>
      <c r="F196" s="4"/>
      <c r="G196" s="4"/>
      <c r="H196" s="72"/>
      <c r="I196" s="72"/>
      <c r="J196" s="72"/>
      <c r="K196" s="72"/>
    </row>
    <row r="197" ht="12.75" customHeight="1">
      <c r="A197" s="4"/>
      <c r="B197" s="4"/>
      <c r="C197" s="4"/>
      <c r="D197" s="4"/>
      <c r="E197" s="4"/>
      <c r="F197" s="4"/>
      <c r="G197" s="4"/>
      <c r="H197" s="72"/>
      <c r="I197" s="72"/>
      <c r="J197" s="72"/>
      <c r="K197" s="72"/>
    </row>
    <row r="198" ht="12.75" customHeight="1">
      <c r="A198" s="4"/>
      <c r="B198" s="4"/>
      <c r="C198" s="4"/>
      <c r="D198" s="4"/>
      <c r="E198" s="4"/>
      <c r="F198" s="4"/>
      <c r="G198" s="4"/>
      <c r="H198" s="72"/>
      <c r="I198" s="72"/>
      <c r="J198" s="72"/>
      <c r="K198" s="72"/>
    </row>
    <row r="199" ht="12.75" customHeight="1">
      <c r="A199" s="4"/>
      <c r="B199" s="4"/>
      <c r="C199" s="4"/>
      <c r="D199" s="4"/>
      <c r="E199" s="4"/>
      <c r="F199" s="4"/>
      <c r="G199" s="4"/>
      <c r="H199" s="72"/>
      <c r="I199" s="72"/>
      <c r="J199" s="72"/>
      <c r="K199" s="72"/>
    </row>
    <row r="200" ht="12.75" customHeight="1">
      <c r="A200" s="4"/>
      <c r="B200" s="4"/>
      <c r="C200" s="4"/>
      <c r="D200" s="4"/>
      <c r="E200" s="4"/>
      <c r="F200" s="4"/>
      <c r="G200" s="4"/>
      <c r="H200" s="72"/>
      <c r="I200" s="72"/>
      <c r="J200" s="72"/>
      <c r="K200" s="72"/>
    </row>
    <row r="201" ht="12.75" customHeight="1">
      <c r="A201" s="4"/>
      <c r="B201" s="4"/>
      <c r="C201" s="4"/>
      <c r="D201" s="4"/>
      <c r="E201" s="4"/>
      <c r="F201" s="4"/>
      <c r="G201" s="4"/>
      <c r="H201" s="72"/>
      <c r="I201" s="72"/>
      <c r="J201" s="72"/>
      <c r="K201" s="72"/>
    </row>
    <row r="202" ht="12.75" customHeight="1">
      <c r="A202" s="4"/>
      <c r="B202" s="4"/>
      <c r="C202" s="4"/>
      <c r="D202" s="4"/>
      <c r="E202" s="4"/>
      <c r="F202" s="4"/>
      <c r="G202" s="4"/>
      <c r="H202" s="72"/>
      <c r="I202" s="72"/>
      <c r="J202" s="72"/>
      <c r="K202" s="72"/>
    </row>
    <row r="203" ht="12.75" customHeight="1">
      <c r="A203" s="4"/>
      <c r="B203" s="4"/>
      <c r="C203" s="4"/>
      <c r="D203" s="4"/>
      <c r="E203" s="4"/>
      <c r="F203" s="4"/>
      <c r="G203" s="4"/>
      <c r="H203" s="72"/>
      <c r="I203" s="72"/>
      <c r="J203" s="72"/>
      <c r="K203" s="72"/>
    </row>
    <row r="204" ht="12.75" customHeight="1">
      <c r="A204" s="4"/>
      <c r="B204" s="4"/>
      <c r="C204" s="4"/>
      <c r="D204" s="4"/>
      <c r="E204" s="4"/>
      <c r="F204" s="4"/>
      <c r="G204" s="4"/>
      <c r="H204" s="72"/>
      <c r="I204" s="72"/>
      <c r="J204" s="72"/>
      <c r="K204" s="72"/>
    </row>
    <row r="205" ht="12.75" customHeight="1">
      <c r="A205" s="4"/>
      <c r="B205" s="4"/>
      <c r="C205" s="4"/>
      <c r="D205" s="4"/>
      <c r="E205" s="4"/>
      <c r="F205" s="4"/>
      <c r="G205" s="4"/>
      <c r="H205" s="72"/>
      <c r="I205" s="72"/>
      <c r="J205" s="72"/>
      <c r="K205" s="72"/>
    </row>
    <row r="206" ht="12.75" customHeight="1">
      <c r="A206" s="4"/>
      <c r="B206" s="4"/>
      <c r="C206" s="4"/>
      <c r="D206" s="4"/>
      <c r="E206" s="4"/>
      <c r="F206" s="4"/>
      <c r="G206" s="4"/>
      <c r="H206" s="72"/>
      <c r="I206" s="72"/>
      <c r="J206" s="72"/>
      <c r="K206" s="72"/>
    </row>
    <row r="207" ht="12.75" customHeight="1">
      <c r="A207" s="4"/>
      <c r="B207" s="4"/>
      <c r="C207" s="4"/>
      <c r="D207" s="4"/>
      <c r="E207" s="4"/>
      <c r="F207" s="4"/>
      <c r="G207" s="4"/>
      <c r="H207" s="72"/>
      <c r="I207" s="72"/>
      <c r="J207" s="72"/>
      <c r="K207" s="72"/>
    </row>
    <row r="208" ht="12.75" customHeight="1">
      <c r="A208" s="4"/>
      <c r="B208" s="4"/>
      <c r="C208" s="4"/>
      <c r="D208" s="4"/>
      <c r="E208" s="4"/>
      <c r="F208" s="4"/>
      <c r="G208" s="4"/>
      <c r="H208" s="72"/>
      <c r="I208" s="72"/>
      <c r="J208" s="72"/>
      <c r="K208" s="72"/>
    </row>
    <row r="209" ht="12.75" customHeight="1">
      <c r="A209" s="4"/>
      <c r="B209" s="4"/>
      <c r="C209" s="4"/>
      <c r="D209" s="4"/>
      <c r="E209" s="4"/>
      <c r="F209" s="4"/>
      <c r="G209" s="4"/>
      <c r="H209" s="72"/>
      <c r="I209" s="72"/>
      <c r="J209" s="72"/>
      <c r="K209" s="72"/>
    </row>
    <row r="210" ht="12.75" customHeight="1">
      <c r="A210" s="4"/>
      <c r="B210" s="4"/>
      <c r="C210" s="4"/>
      <c r="D210" s="4"/>
      <c r="E210" s="4"/>
      <c r="F210" s="4"/>
      <c r="G210" s="4"/>
      <c r="H210" s="72"/>
      <c r="I210" s="72"/>
      <c r="J210" s="72"/>
      <c r="K210" s="72"/>
    </row>
    <row r="211" ht="12.75" customHeight="1">
      <c r="A211" s="4"/>
      <c r="B211" s="4"/>
      <c r="C211" s="4"/>
      <c r="D211" s="4"/>
      <c r="E211" s="4"/>
      <c r="F211" s="4"/>
      <c r="G211" s="4"/>
      <c r="H211" s="72"/>
      <c r="I211" s="72"/>
      <c r="J211" s="72"/>
      <c r="K211" s="72"/>
    </row>
    <row r="212" ht="12.75" customHeight="1">
      <c r="A212" s="4"/>
      <c r="B212" s="4"/>
      <c r="C212" s="4"/>
      <c r="D212" s="4"/>
      <c r="E212" s="4"/>
      <c r="F212" s="4"/>
      <c r="G212" s="4"/>
      <c r="H212" s="72"/>
      <c r="I212" s="72"/>
      <c r="J212" s="72"/>
      <c r="K212" s="72"/>
    </row>
    <row r="213" ht="12.75" customHeight="1">
      <c r="A213" s="4"/>
      <c r="B213" s="4"/>
      <c r="C213" s="4"/>
      <c r="D213" s="4"/>
      <c r="E213" s="4"/>
      <c r="F213" s="4"/>
      <c r="G213" s="4"/>
      <c r="H213" s="72"/>
      <c r="I213" s="72"/>
      <c r="J213" s="72"/>
      <c r="K213" s="72"/>
    </row>
    <row r="214" ht="12.75" customHeight="1">
      <c r="A214" s="4"/>
      <c r="B214" s="4"/>
      <c r="C214" s="4"/>
      <c r="D214" s="4"/>
      <c r="E214" s="4"/>
      <c r="F214" s="4"/>
      <c r="G214" s="4"/>
      <c r="H214" s="72"/>
      <c r="I214" s="72"/>
      <c r="J214" s="72"/>
      <c r="K214" s="72"/>
    </row>
    <row r="215" ht="12.75" customHeight="1">
      <c r="A215" s="4"/>
      <c r="B215" s="4"/>
      <c r="C215" s="4"/>
      <c r="D215" s="4"/>
      <c r="E215" s="4"/>
      <c r="F215" s="4"/>
      <c r="G215" s="4"/>
      <c r="H215" s="72"/>
      <c r="I215" s="72"/>
      <c r="J215" s="72"/>
      <c r="K215" s="72"/>
    </row>
    <row r="216" ht="12.75" customHeight="1">
      <c r="A216" s="4"/>
      <c r="B216" s="4"/>
      <c r="C216" s="4"/>
      <c r="D216" s="4"/>
      <c r="E216" s="4"/>
      <c r="F216" s="4"/>
      <c r="G216" s="4"/>
      <c r="H216" s="72"/>
      <c r="I216" s="72"/>
      <c r="J216" s="72"/>
      <c r="K216" s="72"/>
    </row>
    <row r="217" ht="12.75" customHeight="1">
      <c r="A217" s="4"/>
      <c r="B217" s="4"/>
      <c r="C217" s="4"/>
      <c r="D217" s="4"/>
      <c r="E217" s="4"/>
      <c r="F217" s="4"/>
      <c r="G217" s="4"/>
      <c r="H217" s="72"/>
      <c r="I217" s="72"/>
      <c r="J217" s="72"/>
      <c r="K217" s="72"/>
    </row>
    <row r="218" ht="12.75" customHeight="1">
      <c r="A218" s="4"/>
      <c r="B218" s="4"/>
      <c r="C218" s="4"/>
      <c r="D218" s="4"/>
      <c r="E218" s="4"/>
      <c r="F218" s="4"/>
      <c r="G218" s="4"/>
      <c r="H218" s="72"/>
      <c r="I218" s="72"/>
      <c r="J218" s="72"/>
      <c r="K218" s="72"/>
    </row>
    <row r="219" ht="12.75" customHeight="1">
      <c r="A219" s="4"/>
      <c r="B219" s="4"/>
      <c r="C219" s="4"/>
      <c r="D219" s="4"/>
      <c r="E219" s="4"/>
      <c r="F219" s="4"/>
      <c r="G219" s="4"/>
      <c r="H219" s="72"/>
      <c r="I219" s="72"/>
      <c r="J219" s="72"/>
      <c r="K219" s="72"/>
    </row>
    <row r="220" ht="12.75" customHeight="1">
      <c r="A220" s="4"/>
      <c r="B220" s="4"/>
      <c r="C220" s="4"/>
      <c r="D220" s="4"/>
      <c r="E220" s="4"/>
      <c r="F220" s="4"/>
      <c r="G220" s="4"/>
      <c r="H220" s="72"/>
      <c r="I220" s="72"/>
      <c r="J220" s="72"/>
      <c r="K220" s="72"/>
    </row>
    <row r="221" ht="12.75" customHeight="1">
      <c r="A221" s="4"/>
      <c r="B221" s="4"/>
      <c r="C221" s="4"/>
      <c r="D221" s="4"/>
      <c r="E221" s="4"/>
      <c r="F221" s="4"/>
      <c r="G221" s="4"/>
      <c r="H221" s="72"/>
      <c r="I221" s="72"/>
      <c r="J221" s="72"/>
      <c r="K221" s="72"/>
    </row>
    <row r="222" ht="12.75" customHeight="1">
      <c r="A222" s="4"/>
      <c r="B222" s="4"/>
      <c r="C222" s="4"/>
      <c r="D222" s="4"/>
      <c r="E222" s="4"/>
      <c r="F222" s="4"/>
      <c r="G222" s="4"/>
      <c r="H222" s="72"/>
      <c r="I222" s="72"/>
      <c r="J222" s="72"/>
      <c r="K222" s="72"/>
    </row>
    <row r="223" ht="12.75" customHeight="1">
      <c r="A223" s="4"/>
      <c r="B223" s="4"/>
      <c r="C223" s="4"/>
      <c r="D223" s="4"/>
      <c r="E223" s="4"/>
      <c r="F223" s="4"/>
      <c r="G223" s="4"/>
      <c r="H223" s="72"/>
      <c r="I223" s="72"/>
      <c r="J223" s="72"/>
      <c r="K223" s="72"/>
    </row>
    <row r="224" ht="12.75" customHeight="1">
      <c r="A224" s="4"/>
      <c r="B224" s="4"/>
      <c r="C224" s="4"/>
      <c r="D224" s="4"/>
      <c r="E224" s="4"/>
      <c r="F224" s="4"/>
      <c r="G224" s="4"/>
      <c r="H224" s="72"/>
      <c r="I224" s="72"/>
      <c r="J224" s="72"/>
      <c r="K224" s="72"/>
    </row>
    <row r="225" ht="12.75" customHeight="1">
      <c r="A225" s="4"/>
      <c r="B225" s="4"/>
      <c r="C225" s="4"/>
      <c r="D225" s="4"/>
      <c r="E225" s="4"/>
      <c r="F225" s="4"/>
      <c r="G225" s="4"/>
      <c r="H225" s="72"/>
      <c r="I225" s="72"/>
      <c r="J225" s="72"/>
      <c r="K225" s="72"/>
    </row>
    <row r="226" ht="12.75" customHeight="1">
      <c r="A226" s="4"/>
      <c r="B226" s="4"/>
      <c r="C226" s="4"/>
      <c r="D226" s="4"/>
      <c r="E226" s="4"/>
      <c r="F226" s="4"/>
      <c r="G226" s="4"/>
      <c r="H226" s="72"/>
      <c r="I226" s="72"/>
      <c r="J226" s="72"/>
      <c r="K226" s="72"/>
    </row>
    <row r="227" ht="12.75" customHeight="1">
      <c r="A227" s="4"/>
      <c r="B227" s="4"/>
      <c r="C227" s="4"/>
      <c r="D227" s="4"/>
      <c r="E227" s="4"/>
      <c r="F227" s="4"/>
      <c r="G227" s="4"/>
      <c r="H227" s="72"/>
      <c r="I227" s="72"/>
      <c r="J227" s="72"/>
      <c r="K227" s="72"/>
    </row>
    <row r="228" ht="12.75" customHeight="1">
      <c r="A228" s="4"/>
      <c r="B228" s="4"/>
      <c r="C228" s="4"/>
      <c r="D228" s="4"/>
      <c r="E228" s="4"/>
      <c r="F228" s="4"/>
      <c r="G228" s="4"/>
      <c r="H228" s="72"/>
      <c r="I228" s="72"/>
      <c r="J228" s="72"/>
      <c r="K228" s="72"/>
    </row>
    <row r="229" ht="12.75" customHeight="1">
      <c r="A229" s="4"/>
      <c r="B229" s="4"/>
      <c r="C229" s="4"/>
      <c r="D229" s="4"/>
      <c r="E229" s="4"/>
      <c r="F229" s="4"/>
      <c r="G229" s="4"/>
      <c r="H229" s="72"/>
      <c r="I229" s="72"/>
      <c r="J229" s="72"/>
      <c r="K229" s="72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959"/>
  <printOptions/>
  <pageMargins bottom="0.787401575" footer="0.0" header="0.0" left="0.511811024" right="0.511811024" top="0.7874015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2.57"/>
    <col customWidth="1" hidden="1" min="2" max="2" width="42.86"/>
    <col customWidth="1" hidden="1" min="3" max="3" width="31.14"/>
    <col customWidth="1" min="4" max="4" width="14.0"/>
    <col customWidth="1" min="5" max="5" width="29.0"/>
    <col customWidth="1" min="6" max="6" width="15.86"/>
    <col customWidth="1" hidden="1" min="7" max="7" width="25.71"/>
    <col customWidth="1" min="8" max="8" width="11.43"/>
    <col customWidth="1" min="9" max="9" width="15.86"/>
    <col customWidth="1" min="10" max="10" width="28.43"/>
    <col customWidth="1" min="11" max="11" width="22.86"/>
    <col customWidth="1" min="12" max="12" width="18.29"/>
  </cols>
  <sheetData>
    <row r="1" ht="12.75" customHeight="1">
      <c r="A1" s="51" t="s">
        <v>222</v>
      </c>
      <c r="B1" s="51" t="s">
        <v>223</v>
      </c>
      <c r="C1" s="51" t="s">
        <v>224</v>
      </c>
      <c r="D1" s="52" t="s">
        <v>4</v>
      </c>
      <c r="E1" s="52" t="s">
        <v>225</v>
      </c>
      <c r="F1" s="52" t="s">
        <v>226</v>
      </c>
      <c r="G1" s="52" t="s">
        <v>227</v>
      </c>
      <c r="H1" s="53" t="s">
        <v>228</v>
      </c>
      <c r="I1" s="54" t="s">
        <v>229</v>
      </c>
      <c r="J1" s="54" t="s">
        <v>230</v>
      </c>
      <c r="K1" s="54" t="s">
        <v>233</v>
      </c>
      <c r="L1" s="54" t="s">
        <v>231</v>
      </c>
    </row>
    <row r="2" ht="12.75" customHeight="1">
      <c r="A2" s="4"/>
      <c r="B2" s="4"/>
      <c r="C2" s="4"/>
      <c r="D2" s="4"/>
      <c r="E2" s="4"/>
      <c r="F2" s="4"/>
      <c r="G2" s="4"/>
      <c r="H2" s="72"/>
      <c r="I2" s="72"/>
      <c r="J2" s="72"/>
      <c r="K2" s="72"/>
      <c r="L2" s="72"/>
    </row>
    <row r="3" ht="12.75" customHeight="1">
      <c r="A3" s="55" t="s">
        <v>30</v>
      </c>
      <c r="B3" s="56" t="s">
        <v>186</v>
      </c>
      <c r="C3" s="56" t="s">
        <v>187</v>
      </c>
      <c r="D3" s="57" t="s">
        <v>29</v>
      </c>
      <c r="E3" s="57" t="s">
        <v>144</v>
      </c>
      <c r="F3" s="57" t="s">
        <v>28</v>
      </c>
      <c r="G3" s="57" t="s">
        <v>191</v>
      </c>
      <c r="H3" s="58">
        <v>299.76</v>
      </c>
      <c r="I3" s="58">
        <f t="shared" ref="I3:I10" si="1">H3*176</f>
        <v>52757.76</v>
      </c>
      <c r="J3" s="58">
        <f t="shared" ref="J3:J10" si="2">I3*12</f>
        <v>633093.12</v>
      </c>
      <c r="K3" s="58">
        <f t="shared" ref="K3:K10" si="3">I3*11</f>
        <v>580335.36</v>
      </c>
      <c r="L3" s="59" t="s">
        <v>14</v>
      </c>
    </row>
    <row r="4" ht="12.75" customHeight="1">
      <c r="A4" s="60" t="s">
        <v>32</v>
      </c>
      <c r="B4" s="61" t="s">
        <v>192</v>
      </c>
      <c r="C4" s="61" t="s">
        <v>193</v>
      </c>
      <c r="D4" s="62" t="s">
        <v>31</v>
      </c>
      <c r="E4" s="62" t="s">
        <v>114</v>
      </c>
      <c r="F4" s="62" t="s">
        <v>28</v>
      </c>
      <c r="G4" s="62" t="s">
        <v>191</v>
      </c>
      <c r="H4" s="63">
        <v>289.35</v>
      </c>
      <c r="I4" s="63">
        <f t="shared" si="1"/>
        <v>50925.6</v>
      </c>
      <c r="J4" s="63">
        <f t="shared" si="2"/>
        <v>611107.2</v>
      </c>
      <c r="K4" s="63">
        <f t="shared" si="3"/>
        <v>560181.6</v>
      </c>
      <c r="L4" s="64" t="s">
        <v>14</v>
      </c>
    </row>
    <row r="5" ht="12.75" customHeight="1">
      <c r="A5" s="60" t="s">
        <v>21</v>
      </c>
      <c r="B5" s="61" t="s">
        <v>178</v>
      </c>
      <c r="C5" s="61" t="s">
        <v>179</v>
      </c>
      <c r="D5" s="62" t="s">
        <v>20</v>
      </c>
      <c r="E5" s="62" t="s">
        <v>119</v>
      </c>
      <c r="F5" s="62" t="s">
        <v>19</v>
      </c>
      <c r="G5" s="62" t="s">
        <v>91</v>
      </c>
      <c r="H5" s="63">
        <v>228.58</v>
      </c>
      <c r="I5" s="63">
        <f t="shared" si="1"/>
        <v>40230.08</v>
      </c>
      <c r="J5" s="63">
        <f t="shared" si="2"/>
        <v>482760.96</v>
      </c>
      <c r="K5" s="63">
        <f t="shared" si="3"/>
        <v>442530.88</v>
      </c>
      <c r="L5" s="64" t="s">
        <v>14</v>
      </c>
    </row>
    <row r="6" ht="12.75" customHeight="1">
      <c r="A6" s="60" t="s">
        <v>23</v>
      </c>
      <c r="B6" s="61" t="s">
        <v>180</v>
      </c>
      <c r="C6" s="61" t="s">
        <v>181</v>
      </c>
      <c r="D6" s="62" t="s">
        <v>22</v>
      </c>
      <c r="E6" s="62" t="s">
        <v>119</v>
      </c>
      <c r="F6" s="62" t="s">
        <v>19</v>
      </c>
      <c r="G6" s="62" t="s">
        <v>91</v>
      </c>
      <c r="H6" s="63">
        <v>213.87</v>
      </c>
      <c r="I6" s="63">
        <f t="shared" si="1"/>
        <v>37641.12</v>
      </c>
      <c r="J6" s="63">
        <f t="shared" si="2"/>
        <v>451693.44</v>
      </c>
      <c r="K6" s="63">
        <f t="shared" si="3"/>
        <v>414052.32</v>
      </c>
      <c r="L6" s="64" t="s">
        <v>14</v>
      </c>
    </row>
    <row r="7" ht="12.75" customHeight="1">
      <c r="A7" s="60" t="s">
        <v>25</v>
      </c>
      <c r="B7" s="61" t="s">
        <v>182</v>
      </c>
      <c r="C7" s="61" t="s">
        <v>183</v>
      </c>
      <c r="D7" s="62" t="s">
        <v>24</v>
      </c>
      <c r="E7" s="62" t="s">
        <v>119</v>
      </c>
      <c r="F7" s="62" t="s">
        <v>19</v>
      </c>
      <c r="G7" s="62" t="s">
        <v>91</v>
      </c>
      <c r="H7" s="63">
        <v>213.87</v>
      </c>
      <c r="I7" s="63">
        <f t="shared" si="1"/>
        <v>37641.12</v>
      </c>
      <c r="J7" s="63">
        <f t="shared" si="2"/>
        <v>451693.44</v>
      </c>
      <c r="K7" s="63">
        <f t="shared" si="3"/>
        <v>414052.32</v>
      </c>
      <c r="L7" s="64" t="s">
        <v>14</v>
      </c>
    </row>
    <row r="8" ht="12.75" customHeight="1">
      <c r="A8" s="60" t="s">
        <v>34</v>
      </c>
      <c r="B8" s="61" t="s">
        <v>194</v>
      </c>
      <c r="C8" s="61" t="s">
        <v>195</v>
      </c>
      <c r="D8" s="62" t="s">
        <v>33</v>
      </c>
      <c r="E8" s="62" t="s">
        <v>119</v>
      </c>
      <c r="F8" s="62" t="s">
        <v>28</v>
      </c>
      <c r="G8" s="62" t="s">
        <v>191</v>
      </c>
      <c r="H8" s="63">
        <v>202.62</v>
      </c>
      <c r="I8" s="63">
        <f t="shared" si="1"/>
        <v>35661.12</v>
      </c>
      <c r="J8" s="63">
        <f t="shared" si="2"/>
        <v>427933.44</v>
      </c>
      <c r="K8" s="63">
        <f t="shared" si="3"/>
        <v>392272.32</v>
      </c>
      <c r="L8" s="64" t="s">
        <v>14</v>
      </c>
    </row>
    <row r="9" ht="12.75" customHeight="1">
      <c r="A9" s="60" t="s">
        <v>27</v>
      </c>
      <c r="B9" s="61" t="s">
        <v>203</v>
      </c>
      <c r="C9" s="61" t="s">
        <v>204</v>
      </c>
      <c r="D9" s="62" t="s">
        <v>26</v>
      </c>
      <c r="E9" s="62" t="s">
        <v>119</v>
      </c>
      <c r="F9" s="62" t="s">
        <v>19</v>
      </c>
      <c r="G9" s="62" t="s">
        <v>191</v>
      </c>
      <c r="H9" s="63">
        <v>213.87</v>
      </c>
      <c r="I9" s="63">
        <f t="shared" si="1"/>
        <v>37641.12</v>
      </c>
      <c r="J9" s="63">
        <f t="shared" si="2"/>
        <v>451693.44</v>
      </c>
      <c r="K9" s="63">
        <f t="shared" si="3"/>
        <v>414052.32</v>
      </c>
      <c r="L9" s="64" t="s">
        <v>14</v>
      </c>
    </row>
    <row r="10" ht="12.75" customHeight="1">
      <c r="A10" s="60" t="s">
        <v>36</v>
      </c>
      <c r="B10" s="61" t="s">
        <v>174</v>
      </c>
      <c r="C10" s="61" t="s">
        <v>175</v>
      </c>
      <c r="D10" s="62" t="s">
        <v>35</v>
      </c>
      <c r="E10" s="62" t="s">
        <v>156</v>
      </c>
      <c r="F10" s="62" t="s">
        <v>28</v>
      </c>
      <c r="G10" s="62" t="s">
        <v>91</v>
      </c>
      <c r="H10" s="63">
        <v>193.74</v>
      </c>
      <c r="I10" s="63">
        <f t="shared" si="1"/>
        <v>34098.24</v>
      </c>
      <c r="J10" s="63">
        <f t="shared" si="2"/>
        <v>409178.88</v>
      </c>
      <c r="K10" s="63">
        <f t="shared" si="3"/>
        <v>375080.64</v>
      </c>
      <c r="L10" s="64" t="s">
        <v>14</v>
      </c>
    </row>
    <row r="11" ht="12.75" customHeight="1">
      <c r="A11" s="77"/>
      <c r="B11" s="78"/>
      <c r="C11" s="78"/>
      <c r="D11" s="78"/>
      <c r="E11" s="78"/>
      <c r="F11" s="78"/>
      <c r="G11" s="78"/>
      <c r="H11" s="79"/>
      <c r="I11" s="79"/>
      <c r="J11" s="80">
        <f t="shared" ref="J11:K11" si="4">SUM(J3:J10)</f>
        <v>3919153.92</v>
      </c>
      <c r="K11" s="80">
        <f t="shared" si="4"/>
        <v>3592557.76</v>
      </c>
      <c r="L11" s="81"/>
    </row>
    <row r="12" ht="12.75" customHeight="1">
      <c r="A12" s="4"/>
      <c r="B12" s="4"/>
      <c r="C12" s="4"/>
      <c r="D12" s="4"/>
      <c r="E12" s="4"/>
      <c r="F12" s="4"/>
      <c r="G12" s="4"/>
      <c r="H12" s="72"/>
      <c r="I12" s="72"/>
      <c r="J12" s="72"/>
      <c r="K12" s="72"/>
      <c r="L12" s="72"/>
    </row>
    <row r="13" ht="12.75" customHeight="1">
      <c r="A13" s="4"/>
      <c r="B13" s="4"/>
      <c r="C13" s="4"/>
      <c r="D13" s="4"/>
      <c r="E13" s="4"/>
      <c r="F13" s="4"/>
      <c r="G13" s="4"/>
      <c r="H13" s="72"/>
      <c r="I13" s="72"/>
      <c r="J13" s="72"/>
      <c r="K13" s="72"/>
      <c r="L13" s="72"/>
    </row>
    <row r="14" ht="12.75" customHeight="1">
      <c r="A14" s="55" t="s">
        <v>38</v>
      </c>
      <c r="B14" s="56" t="s">
        <v>205</v>
      </c>
      <c r="C14" s="56" t="s">
        <v>206</v>
      </c>
      <c r="D14" s="57" t="s">
        <v>37</v>
      </c>
      <c r="E14" s="57" t="s">
        <v>120</v>
      </c>
      <c r="F14" s="57" t="s">
        <v>19</v>
      </c>
      <c r="G14" s="57" t="s">
        <v>207</v>
      </c>
      <c r="H14" s="58">
        <v>213.87</v>
      </c>
      <c r="I14" s="58">
        <f t="shared" ref="I14:I16" si="5">H14*176</f>
        <v>37641.12</v>
      </c>
      <c r="J14" s="58">
        <f t="shared" ref="J14:J17" si="6">I14*12</f>
        <v>451693.44</v>
      </c>
      <c r="K14" s="58">
        <f t="shared" ref="K14:K17" si="7">I14*11</f>
        <v>414052.32</v>
      </c>
      <c r="L14" s="59" t="s">
        <v>10</v>
      </c>
    </row>
    <row r="15" ht="12.75" customHeight="1">
      <c r="A15" s="60" t="s">
        <v>40</v>
      </c>
      <c r="B15" s="61" t="s">
        <v>208</v>
      </c>
      <c r="C15" s="61" t="s">
        <v>209</v>
      </c>
      <c r="D15" s="62" t="s">
        <v>39</v>
      </c>
      <c r="E15" s="62" t="s">
        <v>111</v>
      </c>
      <c r="F15" s="62" t="s">
        <v>19</v>
      </c>
      <c r="G15" s="62" t="s">
        <v>207</v>
      </c>
      <c r="H15" s="63">
        <v>213.87</v>
      </c>
      <c r="I15" s="63">
        <f t="shared" si="5"/>
        <v>37641.12</v>
      </c>
      <c r="J15" s="63">
        <f t="shared" si="6"/>
        <v>451693.44</v>
      </c>
      <c r="K15" s="63">
        <f t="shared" si="7"/>
        <v>414052.32</v>
      </c>
      <c r="L15" s="64" t="s">
        <v>10</v>
      </c>
    </row>
    <row r="16" ht="12.75" customHeight="1">
      <c r="A16" s="60" t="s">
        <v>42</v>
      </c>
      <c r="B16" s="61" t="s">
        <v>210</v>
      </c>
      <c r="C16" s="61" t="s">
        <v>211</v>
      </c>
      <c r="D16" s="62" t="s">
        <v>41</v>
      </c>
      <c r="E16" s="76" t="s">
        <v>133</v>
      </c>
      <c r="F16" s="62" t="s">
        <v>19</v>
      </c>
      <c r="G16" s="62" t="s">
        <v>207</v>
      </c>
      <c r="H16" s="63">
        <v>213.87</v>
      </c>
      <c r="I16" s="63">
        <f t="shared" si="5"/>
        <v>37641.12</v>
      </c>
      <c r="J16" s="63">
        <f t="shared" si="6"/>
        <v>451693.44</v>
      </c>
      <c r="K16" s="63">
        <f t="shared" si="7"/>
        <v>414052.32</v>
      </c>
      <c r="L16" s="64" t="s">
        <v>10</v>
      </c>
    </row>
    <row r="17" ht="12.75" customHeight="1">
      <c r="A17" s="73" t="s">
        <v>232</v>
      </c>
      <c r="B17" s="4"/>
      <c r="C17" s="4"/>
      <c r="D17" s="62" t="s">
        <v>43</v>
      </c>
      <c r="E17" s="62" t="s">
        <v>111</v>
      </c>
      <c r="F17" s="62" t="s">
        <v>19</v>
      </c>
      <c r="G17" s="62" t="s">
        <v>207</v>
      </c>
      <c r="H17" s="63">
        <v>213.87</v>
      </c>
      <c r="I17" s="63">
        <v>40000.0</v>
      </c>
      <c r="J17" s="63">
        <f t="shared" si="6"/>
        <v>480000</v>
      </c>
      <c r="K17" s="63">
        <f t="shared" si="7"/>
        <v>440000</v>
      </c>
      <c r="L17" s="64" t="s">
        <v>10</v>
      </c>
    </row>
    <row r="18" ht="12.75" customHeight="1">
      <c r="A18" s="77"/>
      <c r="B18" s="78"/>
      <c r="C18" s="78"/>
      <c r="D18" s="78"/>
      <c r="E18" s="78"/>
      <c r="F18" s="78"/>
      <c r="G18" s="78"/>
      <c r="H18" s="79"/>
      <c r="I18" s="79"/>
      <c r="J18" s="80">
        <f t="shared" ref="J18:K18" si="8">SUM(J14:J17)</f>
        <v>1835080.32</v>
      </c>
      <c r="K18" s="80">
        <f t="shared" si="8"/>
        <v>1682156.96</v>
      </c>
      <c r="L18" s="81"/>
    </row>
    <row r="19" ht="12.75" customHeight="1">
      <c r="A19" s="4"/>
      <c r="B19" s="4"/>
      <c r="C19" s="4"/>
      <c r="D19" s="4"/>
      <c r="E19" s="4"/>
      <c r="F19" s="4"/>
      <c r="G19" s="4"/>
      <c r="H19" s="72"/>
      <c r="I19" s="72"/>
      <c r="J19" s="72"/>
      <c r="K19" s="72"/>
      <c r="L19" s="72"/>
    </row>
    <row r="20" ht="12.75" customHeight="1">
      <c r="A20" s="4"/>
      <c r="B20" s="4"/>
      <c r="C20" s="4"/>
      <c r="D20" s="4"/>
      <c r="E20" s="4"/>
      <c r="F20" s="4"/>
      <c r="G20" s="4"/>
      <c r="H20" s="72"/>
      <c r="I20" s="72"/>
      <c r="J20" s="72"/>
      <c r="K20" s="72"/>
      <c r="L20" s="72"/>
    </row>
    <row r="21" ht="12.75" customHeight="1">
      <c r="A21" s="4"/>
      <c r="B21" s="4"/>
      <c r="C21" s="4"/>
      <c r="D21" s="4"/>
      <c r="E21" s="4"/>
      <c r="F21" s="4"/>
      <c r="G21" s="4"/>
      <c r="H21" s="72"/>
      <c r="I21" s="72"/>
      <c r="J21" s="72"/>
      <c r="K21" s="72"/>
      <c r="L21" s="72"/>
    </row>
    <row r="22" ht="12.75" customHeight="1">
      <c r="A22" s="4"/>
      <c r="B22" s="4"/>
      <c r="C22" s="4"/>
      <c r="D22" s="4"/>
      <c r="E22" s="4"/>
      <c r="F22" s="4"/>
      <c r="G22" s="4"/>
      <c r="H22" s="72"/>
      <c r="I22" s="72"/>
      <c r="J22" s="72"/>
      <c r="K22" s="72"/>
      <c r="L22" s="72"/>
    </row>
    <row r="23" ht="15.75" customHeight="1"/>
    <row r="24" ht="12.75" customHeight="1">
      <c r="A24" s="4"/>
      <c r="B24" s="4"/>
      <c r="C24" s="4"/>
      <c r="D24" s="4"/>
      <c r="E24" s="4"/>
      <c r="F24" s="4"/>
      <c r="G24" s="4"/>
      <c r="H24" s="72"/>
      <c r="I24" s="72"/>
      <c r="J24" s="72"/>
      <c r="K24" s="72"/>
      <c r="L24" s="72"/>
    </row>
    <row r="25" ht="12.75" customHeight="1">
      <c r="A25" s="4"/>
      <c r="B25" s="4"/>
      <c r="C25" s="4"/>
      <c r="D25" s="4"/>
      <c r="E25" s="4"/>
      <c r="F25" s="4"/>
      <c r="G25" s="4"/>
      <c r="H25" s="72"/>
      <c r="I25" s="72"/>
      <c r="J25" s="72"/>
      <c r="K25" s="72"/>
      <c r="L25" s="72"/>
    </row>
    <row r="26" ht="12.75" customHeight="1">
      <c r="A26" s="4"/>
      <c r="B26" s="4"/>
      <c r="C26" s="4"/>
      <c r="D26" s="4"/>
      <c r="E26" s="4"/>
      <c r="F26" s="4"/>
      <c r="G26" s="4"/>
      <c r="H26" s="72"/>
      <c r="I26" s="72"/>
      <c r="J26" s="72"/>
      <c r="K26" s="72"/>
      <c r="L26" s="72"/>
    </row>
    <row r="27" ht="12.75" customHeight="1">
      <c r="A27" s="4"/>
      <c r="B27" s="4"/>
      <c r="C27" s="4"/>
      <c r="D27" s="4"/>
      <c r="E27" s="4"/>
      <c r="F27" s="4"/>
      <c r="G27" s="4"/>
      <c r="H27" s="72"/>
      <c r="I27" s="72"/>
      <c r="J27" s="72"/>
      <c r="K27" s="72"/>
      <c r="L27" s="72"/>
    </row>
    <row r="28" ht="12.75" customHeight="1">
      <c r="A28" s="4"/>
      <c r="B28" s="4"/>
      <c r="C28" s="4"/>
      <c r="D28" s="4"/>
      <c r="E28" s="4"/>
      <c r="F28" s="4"/>
      <c r="G28" s="4"/>
      <c r="H28" s="72"/>
      <c r="I28" s="72"/>
      <c r="J28" s="72"/>
      <c r="K28" s="72"/>
      <c r="L28" s="72"/>
    </row>
    <row r="29" ht="12.75" customHeight="1">
      <c r="A29" s="4"/>
      <c r="B29" s="4"/>
      <c r="C29" s="4"/>
      <c r="D29" s="4"/>
      <c r="E29" s="4"/>
      <c r="F29" s="4"/>
      <c r="G29" s="4"/>
      <c r="H29" s="72"/>
      <c r="I29" s="72"/>
      <c r="J29" s="72"/>
      <c r="K29" s="72"/>
      <c r="L29" s="72"/>
    </row>
    <row r="30" ht="12.75" customHeight="1">
      <c r="A30" s="4"/>
      <c r="B30" s="4"/>
      <c r="C30" s="4"/>
      <c r="D30" s="4"/>
      <c r="E30" s="4"/>
      <c r="F30" s="4"/>
      <c r="G30" s="4"/>
      <c r="H30" s="72"/>
      <c r="I30" s="72"/>
      <c r="J30" s="72"/>
      <c r="K30" s="72"/>
      <c r="L30" s="72"/>
    </row>
    <row r="31" ht="12.75" customHeight="1">
      <c r="A31" s="4"/>
      <c r="B31" s="4"/>
      <c r="C31" s="4"/>
      <c r="D31" s="4"/>
      <c r="E31" s="4"/>
      <c r="F31" s="4"/>
      <c r="G31" s="4"/>
      <c r="H31" s="72"/>
      <c r="I31" s="72"/>
      <c r="J31" s="72"/>
      <c r="K31" s="72"/>
      <c r="L31" s="72"/>
    </row>
    <row r="32" ht="12.75" customHeight="1">
      <c r="A32" s="4"/>
      <c r="B32" s="4"/>
      <c r="C32" s="4"/>
      <c r="D32" s="4"/>
      <c r="E32" s="4"/>
      <c r="F32" s="4"/>
      <c r="G32" s="4"/>
      <c r="H32" s="72"/>
      <c r="I32" s="72"/>
      <c r="J32" s="72"/>
      <c r="K32" s="72"/>
      <c r="L32" s="72"/>
    </row>
    <row r="33" ht="12.75" customHeight="1">
      <c r="A33" s="4"/>
      <c r="B33" s="4"/>
      <c r="C33" s="4"/>
      <c r="D33" s="4"/>
      <c r="E33" s="4"/>
      <c r="F33" s="4"/>
      <c r="G33" s="4"/>
      <c r="H33" s="72"/>
      <c r="I33" s="72"/>
      <c r="J33" s="72"/>
      <c r="K33" s="72"/>
      <c r="L33" s="72"/>
    </row>
    <row r="34" ht="12.75" customHeight="1">
      <c r="A34" s="4"/>
      <c r="B34" s="4"/>
      <c r="C34" s="4"/>
      <c r="D34" s="4"/>
      <c r="E34" s="4"/>
      <c r="F34" s="4"/>
      <c r="G34" s="4"/>
      <c r="H34" s="72"/>
      <c r="I34" s="72"/>
      <c r="J34" s="72"/>
      <c r="K34" s="72"/>
      <c r="L34" s="72"/>
    </row>
    <row r="35" ht="12.75" customHeight="1">
      <c r="A35" s="4"/>
      <c r="B35" s="4"/>
      <c r="C35" s="4"/>
      <c r="D35" s="4"/>
      <c r="E35" s="4"/>
      <c r="F35" s="4"/>
      <c r="G35" s="4"/>
      <c r="H35" s="72"/>
      <c r="I35" s="72"/>
      <c r="J35" s="72"/>
      <c r="K35" s="72"/>
      <c r="L35" s="72"/>
    </row>
    <row r="36" ht="12.75" customHeight="1">
      <c r="A36" s="4"/>
      <c r="B36" s="4"/>
      <c r="C36" s="4"/>
      <c r="D36" s="4"/>
      <c r="E36" s="4"/>
      <c r="F36" s="4"/>
      <c r="G36" s="4"/>
      <c r="H36" s="72"/>
      <c r="I36" s="72"/>
      <c r="J36" s="72"/>
      <c r="K36" s="72"/>
      <c r="L36" s="72"/>
    </row>
    <row r="37" ht="12.75" customHeight="1">
      <c r="A37" s="4"/>
      <c r="B37" s="4"/>
      <c r="C37" s="4"/>
      <c r="D37" s="4"/>
      <c r="E37" s="4"/>
      <c r="F37" s="4"/>
      <c r="G37" s="4"/>
      <c r="H37" s="72"/>
      <c r="I37" s="72"/>
      <c r="J37" s="72"/>
      <c r="K37" s="72"/>
      <c r="L37" s="72"/>
    </row>
    <row r="38" ht="12.75" customHeight="1">
      <c r="A38" s="4"/>
      <c r="B38" s="4"/>
      <c r="C38" s="4"/>
      <c r="D38" s="4"/>
      <c r="E38" s="4"/>
      <c r="F38" s="4"/>
      <c r="G38" s="4"/>
      <c r="H38" s="72"/>
      <c r="I38" s="72"/>
      <c r="J38" s="72"/>
      <c r="K38" s="72"/>
      <c r="L38" s="72"/>
    </row>
    <row r="39" ht="12.75" customHeight="1">
      <c r="A39" s="4"/>
      <c r="B39" s="4"/>
      <c r="C39" s="4"/>
      <c r="D39" s="4"/>
      <c r="E39" s="4"/>
      <c r="F39" s="4"/>
      <c r="G39" s="4"/>
      <c r="H39" s="72"/>
      <c r="I39" s="72"/>
      <c r="J39" s="72"/>
      <c r="K39" s="72"/>
      <c r="L39" s="72"/>
    </row>
    <row r="40" ht="12.75" customHeight="1">
      <c r="A40" s="4"/>
      <c r="B40" s="4"/>
      <c r="C40" s="4"/>
      <c r="D40" s="4"/>
      <c r="E40" s="4"/>
      <c r="F40" s="4"/>
      <c r="G40" s="4"/>
      <c r="H40" s="72"/>
      <c r="I40" s="72"/>
      <c r="J40" s="72"/>
      <c r="K40" s="72"/>
      <c r="L40" s="72"/>
    </row>
    <row r="41" ht="12.75" customHeight="1">
      <c r="A41" s="4"/>
      <c r="B41" s="4"/>
      <c r="C41" s="4"/>
      <c r="D41" s="4"/>
      <c r="E41" s="4"/>
      <c r="F41" s="4"/>
      <c r="G41" s="4"/>
      <c r="H41" s="72"/>
      <c r="I41" s="72"/>
      <c r="J41" s="72"/>
      <c r="K41" s="72"/>
      <c r="L41" s="72"/>
    </row>
    <row r="42" ht="12.75" customHeight="1">
      <c r="A42" s="4"/>
      <c r="B42" s="4"/>
      <c r="C42" s="4"/>
      <c r="D42" s="4"/>
      <c r="E42" s="4"/>
      <c r="F42" s="4"/>
      <c r="G42" s="4"/>
      <c r="H42" s="72"/>
      <c r="I42" s="72"/>
      <c r="J42" s="72"/>
      <c r="K42" s="72"/>
      <c r="L42" s="72"/>
    </row>
    <row r="43" ht="12.75" customHeight="1">
      <c r="A43" s="4"/>
      <c r="B43" s="4"/>
      <c r="C43" s="4"/>
      <c r="D43" s="4"/>
      <c r="E43" s="4"/>
      <c r="F43" s="4"/>
      <c r="G43" s="4"/>
      <c r="H43" s="72"/>
      <c r="I43" s="72"/>
      <c r="J43" s="72"/>
      <c r="K43" s="72"/>
      <c r="L43" s="72"/>
    </row>
    <row r="44" ht="12.75" customHeight="1">
      <c r="A44" s="4"/>
      <c r="B44" s="4"/>
      <c r="C44" s="4"/>
      <c r="D44" s="4"/>
      <c r="E44" s="4"/>
      <c r="F44" s="4"/>
      <c r="G44" s="4"/>
      <c r="H44" s="72"/>
      <c r="I44" s="72"/>
      <c r="J44" s="72"/>
      <c r="K44" s="72"/>
      <c r="L44" s="72"/>
    </row>
    <row r="45" ht="12.75" customHeight="1">
      <c r="A45" s="4"/>
      <c r="B45" s="4"/>
      <c r="C45" s="4"/>
      <c r="D45" s="4"/>
      <c r="E45" s="4"/>
      <c r="F45" s="4"/>
      <c r="G45" s="4"/>
      <c r="H45" s="72"/>
      <c r="I45" s="72"/>
      <c r="J45" s="72"/>
      <c r="K45" s="72"/>
      <c r="L45" s="72"/>
    </row>
    <row r="46" ht="12.75" customHeight="1">
      <c r="A46" s="4"/>
      <c r="B46" s="4"/>
      <c r="C46" s="4"/>
      <c r="D46" s="4"/>
      <c r="E46" s="4"/>
      <c r="F46" s="4"/>
      <c r="G46" s="4"/>
      <c r="H46" s="72"/>
      <c r="I46" s="72"/>
      <c r="J46" s="72"/>
      <c r="K46" s="72"/>
      <c r="L46" s="72"/>
    </row>
    <row r="47" ht="12.75" customHeight="1">
      <c r="A47" s="4"/>
      <c r="B47" s="4"/>
      <c r="C47" s="4"/>
      <c r="D47" s="4"/>
      <c r="E47" s="4"/>
      <c r="F47" s="4"/>
      <c r="G47" s="4"/>
      <c r="H47" s="72"/>
      <c r="I47" s="72"/>
      <c r="J47" s="72"/>
      <c r="K47" s="72"/>
      <c r="L47" s="72"/>
    </row>
    <row r="48" ht="12.75" customHeight="1">
      <c r="A48" s="4"/>
      <c r="B48" s="4"/>
      <c r="C48" s="4"/>
      <c r="D48" s="4"/>
      <c r="E48" s="4"/>
      <c r="F48" s="4"/>
      <c r="G48" s="4"/>
      <c r="H48" s="72"/>
      <c r="I48" s="72"/>
      <c r="J48" s="72"/>
      <c r="K48" s="72"/>
      <c r="L48" s="72"/>
    </row>
    <row r="49" ht="12.75" customHeight="1">
      <c r="A49" s="4"/>
      <c r="B49" s="4"/>
      <c r="C49" s="4"/>
      <c r="D49" s="4"/>
      <c r="E49" s="4"/>
      <c r="F49" s="4"/>
      <c r="G49" s="4"/>
      <c r="H49" s="72"/>
      <c r="I49" s="72"/>
      <c r="J49" s="72"/>
      <c r="K49" s="72"/>
      <c r="L49" s="72"/>
    </row>
    <row r="50" ht="12.75" customHeight="1">
      <c r="A50" s="4"/>
      <c r="B50" s="4"/>
      <c r="C50" s="4"/>
      <c r="D50" s="4"/>
      <c r="E50" s="4"/>
      <c r="F50" s="4"/>
      <c r="G50" s="4"/>
      <c r="H50" s="72"/>
      <c r="I50" s="72"/>
      <c r="J50" s="72"/>
      <c r="K50" s="72"/>
      <c r="L50" s="72"/>
    </row>
    <row r="51" ht="12.75" customHeight="1">
      <c r="A51" s="4"/>
      <c r="B51" s="4"/>
      <c r="C51" s="4"/>
      <c r="D51" s="4"/>
      <c r="E51" s="4"/>
      <c r="F51" s="4"/>
      <c r="G51" s="4"/>
      <c r="H51" s="72"/>
      <c r="I51" s="72"/>
      <c r="J51" s="72"/>
      <c r="K51" s="72"/>
      <c r="L51" s="72"/>
    </row>
    <row r="52" ht="12.75" customHeight="1">
      <c r="A52" s="4"/>
      <c r="B52" s="4"/>
      <c r="C52" s="4"/>
      <c r="D52" s="4"/>
      <c r="E52" s="4"/>
      <c r="F52" s="4"/>
      <c r="G52" s="4"/>
      <c r="H52" s="72"/>
      <c r="I52" s="72"/>
      <c r="J52" s="72"/>
      <c r="K52" s="72"/>
      <c r="L52" s="72"/>
    </row>
    <row r="53" ht="12.75" customHeight="1">
      <c r="A53" s="4"/>
      <c r="B53" s="4"/>
      <c r="C53" s="4"/>
      <c r="D53" s="4"/>
      <c r="E53" s="4"/>
      <c r="F53" s="4"/>
      <c r="G53" s="4"/>
      <c r="H53" s="72"/>
      <c r="I53" s="72"/>
      <c r="J53" s="72"/>
      <c r="K53" s="72"/>
      <c r="L53" s="72"/>
    </row>
    <row r="54" ht="12.75" customHeight="1">
      <c r="A54" s="4"/>
      <c r="B54" s="4"/>
      <c r="C54" s="4"/>
      <c r="D54" s="4"/>
      <c r="E54" s="4"/>
      <c r="F54" s="4"/>
      <c r="G54" s="4"/>
      <c r="H54" s="72"/>
      <c r="I54" s="72"/>
      <c r="J54" s="72"/>
      <c r="K54" s="72"/>
      <c r="L54" s="72"/>
    </row>
    <row r="55" ht="12.75" customHeight="1">
      <c r="A55" s="4"/>
      <c r="B55" s="4"/>
      <c r="C55" s="4"/>
      <c r="D55" s="4"/>
      <c r="E55" s="4"/>
      <c r="F55" s="4"/>
      <c r="G55" s="4"/>
      <c r="H55" s="72"/>
      <c r="I55" s="72"/>
      <c r="J55" s="72"/>
      <c r="K55" s="72"/>
      <c r="L55" s="72"/>
    </row>
    <row r="56" ht="12.75" customHeight="1">
      <c r="A56" s="4"/>
      <c r="B56" s="4"/>
      <c r="C56" s="4"/>
      <c r="D56" s="4"/>
      <c r="E56" s="4"/>
      <c r="F56" s="4"/>
      <c r="G56" s="4"/>
      <c r="H56" s="72"/>
      <c r="I56" s="72"/>
      <c r="J56" s="72"/>
      <c r="K56" s="72"/>
      <c r="L56" s="72"/>
    </row>
    <row r="57" ht="12.75" customHeight="1">
      <c r="A57" s="4"/>
      <c r="B57" s="4"/>
      <c r="C57" s="4"/>
      <c r="D57" s="4"/>
      <c r="E57" s="4"/>
      <c r="F57" s="4"/>
      <c r="G57" s="4"/>
      <c r="H57" s="72"/>
      <c r="I57" s="72"/>
      <c r="J57" s="72"/>
      <c r="K57" s="72"/>
      <c r="L57" s="72"/>
    </row>
    <row r="58" ht="12.75" customHeight="1">
      <c r="A58" s="4"/>
      <c r="B58" s="4"/>
      <c r="C58" s="4"/>
      <c r="D58" s="4"/>
      <c r="E58" s="4"/>
      <c r="F58" s="4"/>
      <c r="G58" s="4"/>
      <c r="H58" s="72"/>
      <c r="I58" s="72"/>
      <c r="J58" s="72"/>
      <c r="K58" s="72"/>
      <c r="L58" s="72"/>
    </row>
    <row r="59" ht="12.75" customHeight="1">
      <c r="A59" s="4"/>
      <c r="B59" s="4"/>
      <c r="C59" s="4"/>
      <c r="D59" s="4"/>
      <c r="E59" s="4"/>
      <c r="F59" s="4"/>
      <c r="G59" s="4"/>
      <c r="H59" s="72"/>
      <c r="I59" s="72"/>
      <c r="J59" s="72"/>
      <c r="K59" s="72"/>
      <c r="L59" s="72"/>
    </row>
    <row r="60" ht="12.75" customHeight="1">
      <c r="A60" s="4"/>
      <c r="B60" s="4"/>
      <c r="C60" s="4"/>
      <c r="D60" s="4"/>
      <c r="E60" s="4"/>
      <c r="F60" s="4"/>
      <c r="G60" s="4"/>
      <c r="H60" s="72"/>
      <c r="I60" s="72"/>
      <c r="J60" s="72"/>
      <c r="K60" s="72"/>
      <c r="L60" s="72"/>
    </row>
    <row r="61" ht="12.75" customHeight="1">
      <c r="A61" s="4"/>
      <c r="B61" s="4"/>
      <c r="C61" s="4"/>
      <c r="D61" s="4"/>
      <c r="E61" s="4"/>
      <c r="F61" s="4"/>
      <c r="G61" s="4"/>
      <c r="H61" s="72"/>
      <c r="I61" s="72"/>
      <c r="J61" s="72"/>
      <c r="K61" s="72"/>
      <c r="L61" s="72"/>
    </row>
    <row r="62" ht="12.75" customHeight="1">
      <c r="A62" s="4"/>
      <c r="B62" s="4"/>
      <c r="C62" s="4"/>
      <c r="D62" s="4"/>
      <c r="E62" s="4"/>
      <c r="F62" s="4"/>
      <c r="G62" s="4"/>
      <c r="H62" s="72"/>
      <c r="I62" s="72"/>
      <c r="J62" s="72"/>
      <c r="K62" s="72"/>
      <c r="L62" s="72"/>
    </row>
    <row r="63" ht="12.75" customHeight="1">
      <c r="A63" s="4"/>
      <c r="B63" s="4"/>
      <c r="C63" s="4"/>
      <c r="D63" s="4"/>
      <c r="E63" s="4"/>
      <c r="F63" s="4"/>
      <c r="G63" s="4"/>
      <c r="H63" s="72"/>
      <c r="I63" s="72"/>
      <c r="J63" s="72"/>
      <c r="K63" s="72"/>
      <c r="L63" s="72"/>
    </row>
    <row r="64" ht="12.75" customHeight="1">
      <c r="A64" s="4"/>
      <c r="B64" s="4"/>
      <c r="C64" s="4"/>
      <c r="D64" s="4"/>
      <c r="E64" s="4"/>
      <c r="F64" s="4"/>
      <c r="G64" s="4"/>
      <c r="H64" s="72"/>
      <c r="I64" s="72"/>
      <c r="J64" s="72"/>
      <c r="K64" s="72"/>
      <c r="L64" s="72"/>
    </row>
    <row r="65" ht="12.75" customHeight="1">
      <c r="A65" s="4"/>
      <c r="B65" s="4"/>
      <c r="C65" s="4"/>
      <c r="D65" s="4"/>
      <c r="E65" s="4"/>
      <c r="F65" s="4"/>
      <c r="G65" s="4"/>
      <c r="H65" s="72"/>
      <c r="I65" s="72"/>
      <c r="J65" s="72"/>
      <c r="K65" s="72"/>
      <c r="L65" s="72"/>
    </row>
    <row r="66" ht="12.75" customHeight="1">
      <c r="A66" s="4"/>
      <c r="B66" s="4"/>
      <c r="C66" s="4"/>
      <c r="D66" s="4"/>
      <c r="E66" s="4"/>
      <c r="F66" s="4"/>
      <c r="G66" s="4"/>
      <c r="H66" s="72"/>
      <c r="I66" s="72"/>
      <c r="J66" s="72"/>
      <c r="K66" s="72"/>
      <c r="L66" s="72"/>
    </row>
    <row r="67" ht="12.75" customHeight="1">
      <c r="A67" s="4"/>
      <c r="B67" s="4"/>
      <c r="C67" s="4"/>
      <c r="D67" s="4"/>
      <c r="E67" s="4"/>
      <c r="F67" s="4"/>
      <c r="G67" s="4"/>
      <c r="H67" s="72"/>
      <c r="I67" s="72"/>
      <c r="J67" s="72"/>
      <c r="K67" s="72"/>
      <c r="L67" s="72"/>
    </row>
    <row r="68" ht="12.75" customHeight="1">
      <c r="A68" s="4"/>
      <c r="B68" s="4"/>
      <c r="C68" s="4"/>
      <c r="D68" s="4"/>
      <c r="E68" s="4"/>
      <c r="F68" s="4"/>
      <c r="G68" s="4"/>
      <c r="H68" s="72"/>
      <c r="I68" s="72"/>
      <c r="J68" s="72"/>
      <c r="K68" s="72"/>
      <c r="L68" s="72"/>
    </row>
    <row r="69" ht="12.75" customHeight="1">
      <c r="A69" s="4"/>
      <c r="B69" s="4"/>
      <c r="C69" s="4"/>
      <c r="D69" s="4"/>
      <c r="E69" s="4"/>
      <c r="F69" s="4"/>
      <c r="G69" s="4"/>
      <c r="H69" s="72"/>
      <c r="I69" s="72"/>
      <c r="J69" s="72"/>
      <c r="K69" s="72"/>
      <c r="L69" s="72"/>
    </row>
    <row r="70" ht="12.75" customHeight="1">
      <c r="A70" s="4"/>
      <c r="B70" s="4"/>
      <c r="C70" s="4"/>
      <c r="D70" s="4"/>
      <c r="E70" s="4"/>
      <c r="F70" s="4"/>
      <c r="G70" s="4"/>
      <c r="H70" s="72"/>
      <c r="I70" s="72"/>
      <c r="J70" s="72"/>
      <c r="K70" s="72"/>
      <c r="L70" s="72"/>
    </row>
    <row r="71" ht="12.75" customHeight="1">
      <c r="A71" s="4"/>
      <c r="B71" s="4"/>
      <c r="C71" s="4"/>
      <c r="D71" s="4"/>
      <c r="E71" s="4"/>
      <c r="F71" s="4"/>
      <c r="G71" s="4"/>
      <c r="H71" s="72"/>
      <c r="I71" s="72"/>
      <c r="J71" s="72"/>
      <c r="K71" s="72"/>
      <c r="L71" s="72"/>
    </row>
    <row r="72" ht="12.75" customHeight="1">
      <c r="A72" s="4"/>
      <c r="B72" s="4"/>
      <c r="C72" s="4"/>
      <c r="D72" s="4"/>
      <c r="E72" s="4"/>
      <c r="F72" s="4"/>
      <c r="G72" s="4"/>
      <c r="H72" s="72"/>
      <c r="I72" s="72"/>
      <c r="J72" s="72"/>
      <c r="K72" s="72"/>
      <c r="L72" s="72"/>
    </row>
    <row r="73" ht="12.75" customHeight="1">
      <c r="A73" s="4"/>
      <c r="B73" s="4"/>
      <c r="C73" s="4"/>
      <c r="D73" s="4"/>
      <c r="E73" s="4"/>
      <c r="F73" s="4"/>
      <c r="G73" s="4"/>
      <c r="H73" s="72"/>
      <c r="I73" s="72"/>
      <c r="J73" s="72"/>
      <c r="K73" s="72"/>
      <c r="L73" s="72"/>
    </row>
    <row r="74" ht="12.75" customHeight="1">
      <c r="A74" s="4"/>
      <c r="B74" s="4"/>
      <c r="C74" s="4"/>
      <c r="D74" s="4"/>
      <c r="E74" s="4"/>
      <c r="F74" s="4"/>
      <c r="G74" s="4"/>
      <c r="H74" s="72"/>
      <c r="I74" s="72"/>
      <c r="J74" s="72"/>
      <c r="K74" s="72"/>
      <c r="L74" s="72"/>
    </row>
    <row r="75" ht="12.75" customHeight="1">
      <c r="A75" s="4"/>
      <c r="B75" s="4"/>
      <c r="C75" s="4"/>
      <c r="D75" s="4"/>
      <c r="E75" s="4"/>
      <c r="F75" s="4"/>
      <c r="G75" s="4"/>
      <c r="H75" s="72"/>
      <c r="I75" s="72"/>
      <c r="J75" s="72"/>
      <c r="K75" s="72"/>
      <c r="L75" s="72"/>
    </row>
    <row r="76" ht="12.75" customHeight="1">
      <c r="A76" s="4"/>
      <c r="B76" s="4"/>
      <c r="C76" s="4"/>
      <c r="D76" s="4"/>
      <c r="E76" s="4"/>
      <c r="F76" s="4"/>
      <c r="G76" s="4"/>
      <c r="H76" s="72"/>
      <c r="I76" s="72"/>
      <c r="J76" s="72"/>
      <c r="K76" s="72"/>
      <c r="L76" s="72"/>
    </row>
    <row r="77" ht="12.75" customHeight="1">
      <c r="A77" s="4"/>
      <c r="B77" s="4"/>
      <c r="C77" s="4"/>
      <c r="D77" s="4"/>
      <c r="E77" s="4"/>
      <c r="F77" s="4"/>
      <c r="G77" s="4"/>
      <c r="H77" s="72"/>
      <c r="I77" s="72"/>
      <c r="J77" s="72"/>
      <c r="K77" s="72"/>
      <c r="L77" s="72"/>
    </row>
    <row r="78" ht="12.75" customHeight="1">
      <c r="A78" s="4"/>
      <c r="B78" s="4"/>
      <c r="C78" s="4"/>
      <c r="D78" s="4"/>
      <c r="E78" s="4"/>
      <c r="F78" s="4"/>
      <c r="G78" s="4"/>
      <c r="H78" s="72"/>
      <c r="I78" s="72"/>
      <c r="J78" s="72"/>
      <c r="K78" s="72"/>
      <c r="L78" s="72"/>
    </row>
    <row r="79" ht="12.75" customHeight="1">
      <c r="A79" s="4"/>
      <c r="B79" s="4"/>
      <c r="C79" s="4"/>
      <c r="D79" s="4"/>
      <c r="E79" s="4"/>
      <c r="F79" s="4"/>
      <c r="G79" s="4"/>
      <c r="H79" s="72"/>
      <c r="I79" s="72"/>
      <c r="J79" s="72"/>
      <c r="K79" s="72"/>
      <c r="L79" s="72"/>
    </row>
    <row r="80" ht="12.75" customHeight="1">
      <c r="A80" s="4"/>
      <c r="B80" s="4"/>
      <c r="C80" s="4"/>
      <c r="D80" s="4"/>
      <c r="E80" s="4"/>
      <c r="F80" s="4"/>
      <c r="G80" s="4"/>
      <c r="H80" s="72"/>
      <c r="I80" s="72"/>
      <c r="J80" s="72"/>
      <c r="K80" s="72"/>
      <c r="L80" s="72"/>
    </row>
    <row r="81" ht="12.75" customHeight="1">
      <c r="A81" s="4"/>
      <c r="B81" s="4"/>
      <c r="C81" s="4"/>
      <c r="D81" s="4"/>
      <c r="E81" s="4"/>
      <c r="F81" s="4"/>
      <c r="G81" s="4"/>
      <c r="H81" s="72"/>
      <c r="I81" s="72"/>
      <c r="J81" s="72"/>
      <c r="K81" s="72"/>
      <c r="L81" s="72"/>
    </row>
    <row r="82" ht="12.75" customHeight="1">
      <c r="A82" s="4"/>
      <c r="B82" s="4"/>
      <c r="C82" s="4"/>
      <c r="D82" s="4"/>
      <c r="E82" s="4"/>
      <c r="F82" s="4"/>
      <c r="G82" s="4"/>
      <c r="H82" s="72"/>
      <c r="I82" s="72"/>
      <c r="J82" s="72"/>
      <c r="K82" s="72"/>
      <c r="L82" s="72"/>
    </row>
    <row r="83" ht="12.75" customHeight="1">
      <c r="A83" s="4"/>
      <c r="B83" s="4"/>
      <c r="C83" s="4"/>
      <c r="D83" s="4"/>
      <c r="E83" s="4"/>
      <c r="F83" s="4"/>
      <c r="G83" s="4"/>
      <c r="H83" s="72"/>
      <c r="I83" s="72"/>
      <c r="J83" s="72"/>
      <c r="K83" s="72"/>
      <c r="L83" s="72"/>
    </row>
    <row r="84" ht="12.75" customHeight="1">
      <c r="A84" s="4"/>
      <c r="B84" s="4"/>
      <c r="C84" s="4"/>
      <c r="D84" s="4"/>
      <c r="E84" s="4"/>
      <c r="F84" s="4"/>
      <c r="G84" s="4"/>
      <c r="H84" s="72"/>
      <c r="I84" s="72"/>
      <c r="J84" s="72"/>
      <c r="K84" s="72"/>
      <c r="L84" s="72"/>
    </row>
    <row r="85" ht="12.75" customHeight="1">
      <c r="A85" s="4"/>
      <c r="B85" s="4"/>
      <c r="C85" s="4"/>
      <c r="D85" s="4"/>
      <c r="E85" s="4"/>
      <c r="F85" s="4"/>
      <c r="G85" s="4"/>
      <c r="H85" s="72"/>
      <c r="I85" s="72"/>
      <c r="J85" s="72"/>
      <c r="K85" s="72"/>
      <c r="L85" s="72"/>
    </row>
    <row r="86" ht="12.75" customHeight="1">
      <c r="A86" s="4"/>
      <c r="B86" s="4"/>
      <c r="C86" s="4"/>
      <c r="D86" s="4"/>
      <c r="E86" s="4"/>
      <c r="F86" s="4"/>
      <c r="G86" s="4"/>
      <c r="H86" s="72"/>
      <c r="I86" s="72"/>
      <c r="J86" s="72"/>
      <c r="K86" s="72"/>
      <c r="L86" s="72"/>
    </row>
    <row r="87" ht="12.75" customHeight="1">
      <c r="A87" s="4"/>
      <c r="B87" s="4"/>
      <c r="C87" s="4"/>
      <c r="D87" s="4"/>
      <c r="E87" s="4"/>
      <c r="F87" s="4"/>
      <c r="G87" s="4"/>
      <c r="H87" s="72"/>
      <c r="I87" s="72"/>
      <c r="J87" s="72"/>
      <c r="K87" s="72"/>
      <c r="L87" s="72"/>
    </row>
    <row r="88" ht="12.75" customHeight="1">
      <c r="A88" s="4"/>
      <c r="B88" s="4"/>
      <c r="C88" s="4"/>
      <c r="D88" s="4"/>
      <c r="E88" s="4"/>
      <c r="F88" s="4"/>
      <c r="G88" s="4"/>
      <c r="H88" s="72"/>
      <c r="I88" s="72"/>
      <c r="J88" s="72"/>
      <c r="K88" s="72"/>
      <c r="L88" s="72"/>
    </row>
    <row r="89" ht="12.75" customHeight="1">
      <c r="A89" s="4"/>
      <c r="B89" s="4"/>
      <c r="C89" s="4"/>
      <c r="D89" s="4"/>
      <c r="E89" s="4"/>
      <c r="F89" s="4"/>
      <c r="G89" s="4"/>
      <c r="H89" s="72"/>
      <c r="I89" s="72"/>
      <c r="J89" s="72"/>
      <c r="K89" s="72"/>
      <c r="L89" s="72"/>
    </row>
    <row r="90" ht="12.75" customHeight="1">
      <c r="A90" s="4"/>
      <c r="B90" s="4"/>
      <c r="C90" s="4"/>
      <c r="D90" s="4"/>
      <c r="E90" s="4"/>
      <c r="F90" s="4"/>
      <c r="G90" s="4"/>
      <c r="H90" s="72"/>
      <c r="I90" s="72"/>
      <c r="J90" s="72"/>
      <c r="K90" s="72"/>
      <c r="L90" s="72"/>
    </row>
    <row r="91" ht="12.75" customHeight="1">
      <c r="A91" s="4"/>
      <c r="B91" s="4"/>
      <c r="C91" s="4"/>
      <c r="D91" s="4"/>
      <c r="E91" s="4"/>
      <c r="F91" s="4"/>
      <c r="G91" s="4"/>
      <c r="H91" s="72"/>
      <c r="I91" s="72"/>
      <c r="J91" s="72"/>
      <c r="K91" s="72"/>
      <c r="L91" s="72"/>
    </row>
    <row r="92" ht="12.75" customHeight="1">
      <c r="A92" s="4"/>
      <c r="B92" s="4"/>
      <c r="C92" s="4"/>
      <c r="D92" s="4"/>
      <c r="E92" s="4"/>
      <c r="F92" s="4"/>
      <c r="G92" s="4"/>
      <c r="H92" s="72"/>
      <c r="I92" s="72"/>
      <c r="J92" s="72"/>
      <c r="K92" s="72"/>
      <c r="L92" s="72"/>
    </row>
    <row r="93" ht="12.75" customHeight="1">
      <c r="A93" s="4"/>
      <c r="B93" s="4"/>
      <c r="C93" s="4"/>
      <c r="D93" s="4"/>
      <c r="E93" s="4"/>
      <c r="F93" s="4"/>
      <c r="G93" s="4"/>
      <c r="H93" s="72"/>
      <c r="I93" s="72"/>
      <c r="J93" s="72"/>
      <c r="K93" s="72"/>
      <c r="L93" s="72"/>
    </row>
    <row r="94" ht="12.75" customHeight="1">
      <c r="A94" s="4"/>
      <c r="B94" s="4"/>
      <c r="C94" s="4"/>
      <c r="D94" s="4"/>
      <c r="E94" s="4"/>
      <c r="F94" s="4"/>
      <c r="G94" s="4"/>
      <c r="H94" s="72"/>
      <c r="I94" s="72"/>
      <c r="J94" s="72"/>
      <c r="K94" s="72"/>
      <c r="L94" s="72"/>
    </row>
    <row r="95" ht="12.75" customHeight="1">
      <c r="A95" s="4"/>
      <c r="B95" s="4"/>
      <c r="C95" s="4"/>
      <c r="D95" s="4"/>
      <c r="E95" s="4"/>
      <c r="F95" s="4"/>
      <c r="G95" s="4"/>
      <c r="H95" s="72"/>
      <c r="I95" s="72"/>
      <c r="J95" s="72"/>
      <c r="K95" s="72"/>
      <c r="L95" s="72"/>
    </row>
    <row r="96" ht="12.75" customHeight="1">
      <c r="A96" s="4"/>
      <c r="B96" s="4"/>
      <c r="C96" s="4"/>
      <c r="D96" s="4"/>
      <c r="E96" s="4"/>
      <c r="F96" s="4"/>
      <c r="G96" s="4"/>
      <c r="H96" s="72"/>
      <c r="I96" s="72"/>
      <c r="J96" s="72"/>
      <c r="K96" s="72"/>
      <c r="L96" s="72"/>
    </row>
    <row r="97" ht="12.75" customHeight="1">
      <c r="A97" s="4"/>
      <c r="B97" s="4"/>
      <c r="C97" s="4"/>
      <c r="D97" s="4"/>
      <c r="E97" s="4"/>
      <c r="F97" s="4"/>
      <c r="G97" s="4"/>
      <c r="H97" s="72"/>
      <c r="I97" s="72"/>
      <c r="J97" s="72"/>
      <c r="K97" s="72"/>
      <c r="L97" s="72"/>
    </row>
    <row r="98" ht="12.75" customHeight="1">
      <c r="A98" s="4"/>
      <c r="B98" s="4"/>
      <c r="C98" s="4"/>
      <c r="D98" s="4"/>
      <c r="E98" s="4"/>
      <c r="F98" s="4"/>
      <c r="G98" s="4"/>
      <c r="H98" s="72"/>
      <c r="I98" s="72"/>
      <c r="J98" s="72"/>
      <c r="K98" s="72"/>
      <c r="L98" s="72"/>
    </row>
    <row r="99" ht="12.75" customHeight="1">
      <c r="A99" s="4"/>
      <c r="B99" s="4"/>
      <c r="C99" s="4"/>
      <c r="D99" s="4"/>
      <c r="E99" s="4"/>
      <c r="F99" s="4"/>
      <c r="G99" s="4"/>
      <c r="H99" s="72"/>
      <c r="I99" s="72"/>
      <c r="J99" s="72"/>
      <c r="K99" s="72"/>
      <c r="L99" s="72"/>
    </row>
    <row r="100" ht="12.75" customHeight="1">
      <c r="A100" s="4"/>
      <c r="B100" s="4"/>
      <c r="C100" s="4"/>
      <c r="D100" s="4"/>
      <c r="E100" s="4"/>
      <c r="F100" s="4"/>
      <c r="G100" s="4"/>
      <c r="H100" s="72"/>
      <c r="I100" s="72"/>
      <c r="J100" s="72"/>
      <c r="K100" s="72"/>
      <c r="L100" s="72"/>
    </row>
    <row r="101" ht="12.75" customHeight="1">
      <c r="A101" s="4"/>
      <c r="B101" s="4"/>
      <c r="C101" s="4"/>
      <c r="D101" s="4"/>
      <c r="E101" s="4"/>
      <c r="F101" s="4"/>
      <c r="G101" s="4"/>
      <c r="H101" s="72"/>
      <c r="I101" s="72"/>
      <c r="J101" s="72"/>
      <c r="K101" s="72"/>
      <c r="L101" s="72"/>
    </row>
    <row r="102" ht="12.75" customHeight="1">
      <c r="A102" s="4"/>
      <c r="B102" s="4"/>
      <c r="C102" s="4"/>
      <c r="D102" s="4"/>
      <c r="E102" s="4"/>
      <c r="F102" s="4"/>
      <c r="G102" s="4"/>
      <c r="H102" s="72"/>
      <c r="I102" s="72"/>
      <c r="J102" s="72"/>
      <c r="K102" s="72"/>
      <c r="L102" s="72"/>
    </row>
    <row r="103" ht="12.75" customHeight="1">
      <c r="A103" s="4"/>
      <c r="B103" s="4"/>
      <c r="C103" s="4"/>
      <c r="D103" s="4"/>
      <c r="E103" s="4"/>
      <c r="F103" s="4"/>
      <c r="G103" s="4"/>
      <c r="H103" s="72"/>
      <c r="I103" s="72"/>
      <c r="J103" s="72"/>
      <c r="K103" s="72"/>
      <c r="L103" s="72"/>
    </row>
    <row r="104" ht="12.75" customHeight="1">
      <c r="A104" s="4"/>
      <c r="B104" s="4"/>
      <c r="C104" s="4"/>
      <c r="D104" s="4"/>
      <c r="E104" s="4"/>
      <c r="F104" s="4"/>
      <c r="G104" s="4"/>
      <c r="H104" s="72"/>
      <c r="I104" s="72"/>
      <c r="J104" s="72"/>
      <c r="K104" s="72"/>
      <c r="L104" s="72"/>
    </row>
    <row r="105" ht="12.75" customHeight="1">
      <c r="A105" s="4"/>
      <c r="B105" s="4"/>
      <c r="C105" s="4"/>
      <c r="D105" s="4"/>
      <c r="E105" s="4"/>
      <c r="F105" s="4"/>
      <c r="G105" s="4"/>
      <c r="H105" s="72"/>
      <c r="I105" s="72"/>
      <c r="J105" s="72"/>
      <c r="K105" s="72"/>
      <c r="L105" s="72"/>
    </row>
    <row r="106" ht="12.75" customHeight="1">
      <c r="A106" s="4"/>
      <c r="B106" s="4"/>
      <c r="C106" s="4"/>
      <c r="D106" s="4"/>
      <c r="E106" s="4"/>
      <c r="F106" s="4"/>
      <c r="G106" s="4"/>
      <c r="H106" s="72"/>
      <c r="I106" s="72"/>
      <c r="J106" s="72"/>
      <c r="K106" s="72"/>
      <c r="L106" s="72"/>
    </row>
    <row r="107" ht="12.75" customHeight="1">
      <c r="A107" s="4"/>
      <c r="B107" s="4"/>
      <c r="C107" s="4"/>
      <c r="D107" s="4"/>
      <c r="E107" s="4"/>
      <c r="F107" s="4"/>
      <c r="G107" s="4"/>
      <c r="H107" s="72"/>
      <c r="I107" s="72"/>
      <c r="J107" s="72"/>
      <c r="K107" s="72"/>
      <c r="L107" s="72"/>
    </row>
    <row r="108" ht="12.75" customHeight="1">
      <c r="A108" s="4"/>
      <c r="B108" s="4"/>
      <c r="C108" s="4"/>
      <c r="D108" s="4"/>
      <c r="E108" s="4"/>
      <c r="F108" s="4"/>
      <c r="G108" s="4"/>
      <c r="H108" s="72"/>
      <c r="I108" s="72"/>
      <c r="J108" s="72"/>
      <c r="K108" s="72"/>
      <c r="L108" s="72"/>
    </row>
    <row r="109" ht="12.75" customHeight="1">
      <c r="A109" s="4"/>
      <c r="B109" s="4"/>
      <c r="C109" s="4"/>
      <c r="D109" s="4"/>
      <c r="E109" s="4"/>
      <c r="F109" s="4"/>
      <c r="G109" s="4"/>
      <c r="H109" s="72"/>
      <c r="I109" s="72"/>
      <c r="J109" s="72"/>
      <c r="K109" s="72"/>
      <c r="L109" s="72"/>
    </row>
    <row r="110" ht="12.75" customHeight="1">
      <c r="A110" s="4"/>
      <c r="B110" s="4"/>
      <c r="C110" s="4"/>
      <c r="D110" s="4"/>
      <c r="E110" s="4"/>
      <c r="F110" s="4"/>
      <c r="G110" s="4"/>
      <c r="H110" s="72"/>
      <c r="I110" s="72"/>
      <c r="J110" s="72"/>
      <c r="K110" s="72"/>
      <c r="L110" s="72"/>
    </row>
    <row r="111" ht="12.75" customHeight="1">
      <c r="A111" s="4"/>
      <c r="B111" s="4"/>
      <c r="C111" s="4"/>
      <c r="D111" s="4"/>
      <c r="E111" s="4"/>
      <c r="F111" s="4"/>
      <c r="G111" s="4"/>
      <c r="H111" s="72"/>
      <c r="I111" s="72"/>
      <c r="J111" s="72"/>
      <c r="K111" s="72"/>
      <c r="L111" s="72"/>
    </row>
    <row r="112" ht="12.75" customHeight="1">
      <c r="A112" s="4"/>
      <c r="B112" s="4"/>
      <c r="C112" s="4"/>
      <c r="D112" s="4"/>
      <c r="E112" s="4"/>
      <c r="F112" s="4"/>
      <c r="G112" s="4"/>
      <c r="H112" s="72"/>
      <c r="I112" s="72"/>
      <c r="J112" s="72"/>
      <c r="K112" s="72"/>
      <c r="L112" s="72"/>
    </row>
    <row r="113" ht="12.75" customHeight="1">
      <c r="A113" s="4"/>
      <c r="B113" s="4"/>
      <c r="C113" s="4"/>
      <c r="D113" s="4"/>
      <c r="E113" s="4"/>
      <c r="F113" s="4"/>
      <c r="G113" s="4"/>
      <c r="H113" s="72"/>
      <c r="I113" s="72"/>
      <c r="J113" s="72"/>
      <c r="K113" s="72"/>
      <c r="L113" s="72"/>
    </row>
    <row r="114" ht="12.75" customHeight="1">
      <c r="A114" s="4"/>
      <c r="B114" s="4"/>
      <c r="C114" s="4"/>
      <c r="D114" s="4"/>
      <c r="E114" s="4"/>
      <c r="F114" s="4"/>
      <c r="G114" s="4"/>
      <c r="H114" s="72"/>
      <c r="I114" s="72"/>
      <c r="J114" s="72"/>
      <c r="K114" s="72"/>
      <c r="L114" s="72"/>
    </row>
    <row r="115" ht="12.75" customHeight="1">
      <c r="A115" s="4"/>
      <c r="B115" s="4"/>
      <c r="C115" s="4"/>
      <c r="D115" s="4"/>
      <c r="E115" s="4"/>
      <c r="F115" s="4"/>
      <c r="G115" s="4"/>
      <c r="H115" s="72"/>
      <c r="I115" s="72"/>
      <c r="J115" s="72"/>
      <c r="K115" s="72"/>
      <c r="L115" s="72"/>
    </row>
    <row r="116" ht="12.75" customHeight="1">
      <c r="A116" s="4"/>
      <c r="B116" s="4"/>
      <c r="C116" s="4"/>
      <c r="D116" s="4"/>
      <c r="E116" s="4"/>
      <c r="F116" s="4"/>
      <c r="G116" s="4"/>
      <c r="H116" s="72"/>
      <c r="I116" s="72"/>
      <c r="J116" s="72"/>
      <c r="K116" s="72"/>
      <c r="L116" s="72"/>
    </row>
    <row r="117" ht="12.75" customHeight="1">
      <c r="A117" s="4"/>
      <c r="B117" s="4"/>
      <c r="C117" s="4"/>
      <c r="D117" s="4"/>
      <c r="E117" s="4"/>
      <c r="F117" s="4"/>
      <c r="G117" s="4"/>
      <c r="H117" s="72"/>
      <c r="I117" s="72"/>
      <c r="J117" s="72"/>
      <c r="K117" s="72"/>
      <c r="L117" s="72"/>
    </row>
    <row r="118" ht="12.75" customHeight="1">
      <c r="A118" s="4"/>
      <c r="B118" s="4"/>
      <c r="C118" s="4"/>
      <c r="D118" s="4"/>
      <c r="E118" s="4"/>
      <c r="F118" s="4"/>
      <c r="G118" s="4"/>
      <c r="H118" s="72"/>
      <c r="I118" s="72"/>
      <c r="J118" s="72"/>
      <c r="K118" s="72"/>
      <c r="L118" s="72"/>
    </row>
    <row r="119" ht="12.75" customHeight="1">
      <c r="A119" s="4"/>
      <c r="B119" s="4"/>
      <c r="C119" s="4"/>
      <c r="D119" s="4"/>
      <c r="E119" s="4"/>
      <c r="F119" s="4"/>
      <c r="G119" s="4"/>
      <c r="H119" s="72"/>
      <c r="I119" s="72"/>
      <c r="J119" s="72"/>
      <c r="K119" s="72"/>
      <c r="L119" s="72"/>
    </row>
    <row r="120" ht="12.75" customHeight="1">
      <c r="A120" s="4"/>
      <c r="B120" s="4"/>
      <c r="C120" s="4"/>
      <c r="D120" s="4"/>
      <c r="E120" s="4"/>
      <c r="F120" s="4"/>
      <c r="G120" s="4"/>
      <c r="H120" s="72"/>
      <c r="I120" s="72"/>
      <c r="J120" s="72"/>
      <c r="K120" s="72"/>
      <c r="L120" s="72"/>
    </row>
    <row r="121" ht="12.75" customHeight="1">
      <c r="A121" s="4"/>
      <c r="B121" s="4"/>
      <c r="C121" s="4"/>
      <c r="D121" s="4"/>
      <c r="E121" s="4"/>
      <c r="F121" s="4"/>
      <c r="G121" s="4"/>
      <c r="H121" s="72"/>
      <c r="I121" s="72"/>
      <c r="J121" s="72"/>
      <c r="K121" s="72"/>
      <c r="L121" s="72"/>
    </row>
    <row r="122" ht="12.75" customHeight="1">
      <c r="A122" s="4"/>
      <c r="B122" s="4"/>
      <c r="C122" s="4"/>
      <c r="D122" s="4"/>
      <c r="E122" s="4"/>
      <c r="F122" s="4"/>
      <c r="G122" s="4"/>
      <c r="H122" s="72"/>
      <c r="I122" s="72"/>
      <c r="J122" s="72"/>
      <c r="K122" s="72"/>
      <c r="L122" s="72"/>
    </row>
    <row r="123" ht="12.75" customHeight="1">
      <c r="A123" s="4"/>
      <c r="B123" s="4"/>
      <c r="C123" s="4"/>
      <c r="D123" s="4"/>
      <c r="E123" s="4"/>
      <c r="F123" s="4"/>
      <c r="G123" s="4"/>
      <c r="H123" s="72"/>
      <c r="I123" s="72"/>
      <c r="J123" s="72"/>
      <c r="K123" s="72"/>
      <c r="L123" s="72"/>
    </row>
    <row r="124" ht="12.75" customHeight="1">
      <c r="A124" s="4"/>
      <c r="B124" s="4"/>
      <c r="C124" s="4"/>
      <c r="D124" s="4"/>
      <c r="E124" s="4"/>
      <c r="F124" s="4"/>
      <c r="G124" s="4"/>
      <c r="H124" s="72"/>
      <c r="I124" s="72"/>
      <c r="J124" s="72"/>
      <c r="K124" s="72"/>
      <c r="L124" s="72"/>
    </row>
    <row r="125" ht="12.75" customHeight="1">
      <c r="A125" s="4"/>
      <c r="B125" s="4"/>
      <c r="C125" s="4"/>
      <c r="D125" s="4"/>
      <c r="E125" s="4"/>
      <c r="F125" s="4"/>
      <c r="G125" s="4"/>
      <c r="H125" s="72"/>
      <c r="I125" s="72"/>
      <c r="J125" s="72"/>
      <c r="K125" s="72"/>
      <c r="L125" s="72"/>
    </row>
    <row r="126" ht="12.75" customHeight="1">
      <c r="A126" s="4"/>
      <c r="B126" s="4"/>
      <c r="C126" s="4"/>
      <c r="D126" s="4"/>
      <c r="E126" s="4"/>
      <c r="F126" s="4"/>
      <c r="G126" s="4"/>
      <c r="H126" s="72"/>
      <c r="I126" s="72"/>
      <c r="J126" s="72"/>
      <c r="K126" s="72"/>
      <c r="L126" s="72"/>
    </row>
    <row r="127" ht="12.75" customHeight="1">
      <c r="A127" s="4"/>
      <c r="B127" s="4"/>
      <c r="C127" s="4"/>
      <c r="D127" s="4"/>
      <c r="E127" s="4"/>
      <c r="F127" s="4"/>
      <c r="G127" s="4"/>
      <c r="H127" s="72"/>
      <c r="I127" s="72"/>
      <c r="J127" s="72"/>
      <c r="K127" s="72"/>
      <c r="L127" s="72"/>
    </row>
    <row r="128" ht="12.75" customHeight="1">
      <c r="A128" s="4"/>
      <c r="B128" s="4"/>
      <c r="C128" s="4"/>
      <c r="D128" s="4"/>
      <c r="E128" s="4"/>
      <c r="F128" s="4"/>
      <c r="G128" s="4"/>
      <c r="H128" s="72"/>
      <c r="I128" s="72"/>
      <c r="J128" s="72"/>
      <c r="K128" s="72"/>
      <c r="L128" s="72"/>
    </row>
    <row r="129" ht="12.75" customHeight="1">
      <c r="A129" s="4"/>
      <c r="B129" s="4"/>
      <c r="C129" s="4"/>
      <c r="D129" s="4"/>
      <c r="E129" s="4"/>
      <c r="F129" s="4"/>
      <c r="G129" s="4"/>
      <c r="H129" s="72"/>
      <c r="I129" s="72"/>
      <c r="J129" s="72"/>
      <c r="K129" s="72"/>
      <c r="L129" s="72"/>
    </row>
    <row r="130" ht="12.75" customHeight="1">
      <c r="A130" s="4"/>
      <c r="B130" s="4"/>
      <c r="C130" s="4"/>
      <c r="D130" s="4"/>
      <c r="E130" s="4"/>
      <c r="F130" s="4"/>
      <c r="G130" s="4"/>
      <c r="H130" s="72"/>
      <c r="I130" s="72"/>
      <c r="J130" s="72"/>
      <c r="K130" s="72"/>
      <c r="L130" s="72"/>
    </row>
    <row r="131" ht="12.75" customHeight="1">
      <c r="A131" s="4"/>
      <c r="B131" s="4"/>
      <c r="C131" s="4"/>
      <c r="D131" s="4"/>
      <c r="E131" s="4"/>
      <c r="F131" s="4"/>
      <c r="G131" s="4"/>
      <c r="H131" s="72"/>
      <c r="I131" s="72"/>
      <c r="J131" s="72"/>
      <c r="K131" s="72"/>
      <c r="L131" s="72"/>
    </row>
    <row r="132" ht="12.75" customHeight="1">
      <c r="A132" s="4"/>
      <c r="B132" s="4"/>
      <c r="C132" s="4"/>
      <c r="D132" s="4"/>
      <c r="E132" s="4"/>
      <c r="F132" s="4"/>
      <c r="G132" s="4"/>
      <c r="H132" s="72"/>
      <c r="I132" s="72"/>
      <c r="J132" s="72"/>
      <c r="K132" s="72"/>
      <c r="L132" s="72"/>
    </row>
    <row r="133" ht="12.75" customHeight="1">
      <c r="A133" s="4"/>
      <c r="B133" s="4"/>
      <c r="C133" s="4"/>
      <c r="D133" s="4"/>
      <c r="E133" s="4"/>
      <c r="F133" s="4"/>
      <c r="G133" s="4"/>
      <c r="H133" s="72"/>
      <c r="I133" s="72"/>
      <c r="J133" s="72"/>
      <c r="K133" s="72"/>
      <c r="L133" s="72"/>
    </row>
    <row r="134" ht="12.75" customHeight="1">
      <c r="A134" s="4"/>
      <c r="B134" s="4"/>
      <c r="C134" s="4"/>
      <c r="D134" s="4"/>
      <c r="E134" s="4"/>
      <c r="F134" s="4"/>
      <c r="G134" s="4"/>
      <c r="H134" s="72"/>
      <c r="I134" s="72"/>
      <c r="J134" s="72"/>
      <c r="K134" s="72"/>
      <c r="L134" s="72"/>
    </row>
    <row r="135" ht="12.75" customHeight="1">
      <c r="A135" s="4"/>
      <c r="B135" s="4"/>
      <c r="C135" s="4"/>
      <c r="D135" s="4"/>
      <c r="E135" s="4"/>
      <c r="F135" s="4"/>
      <c r="G135" s="4"/>
      <c r="H135" s="72"/>
      <c r="I135" s="72"/>
      <c r="J135" s="72"/>
      <c r="K135" s="72"/>
      <c r="L135" s="72"/>
    </row>
    <row r="136" ht="12.75" customHeight="1">
      <c r="A136" s="4"/>
      <c r="B136" s="4"/>
      <c r="C136" s="4"/>
      <c r="D136" s="4"/>
      <c r="E136" s="4"/>
      <c r="F136" s="4"/>
      <c r="G136" s="4"/>
      <c r="H136" s="72"/>
      <c r="I136" s="72"/>
      <c r="J136" s="72"/>
      <c r="K136" s="72"/>
      <c r="L136" s="72"/>
    </row>
    <row r="137" ht="12.75" customHeight="1">
      <c r="A137" s="4"/>
      <c r="B137" s="4"/>
      <c r="C137" s="4"/>
      <c r="D137" s="4"/>
      <c r="E137" s="4"/>
      <c r="F137" s="4"/>
      <c r="G137" s="4"/>
      <c r="H137" s="72"/>
      <c r="I137" s="72"/>
      <c r="J137" s="72"/>
      <c r="K137" s="72"/>
      <c r="L137" s="72"/>
    </row>
    <row r="138" ht="12.75" customHeight="1">
      <c r="A138" s="4"/>
      <c r="B138" s="4"/>
      <c r="C138" s="4"/>
      <c r="D138" s="4"/>
      <c r="E138" s="4"/>
      <c r="F138" s="4"/>
      <c r="G138" s="4"/>
      <c r="H138" s="72"/>
      <c r="I138" s="72"/>
      <c r="J138" s="72"/>
      <c r="K138" s="72"/>
      <c r="L138" s="72"/>
    </row>
    <row r="139" ht="12.75" customHeight="1">
      <c r="A139" s="4"/>
      <c r="B139" s="4"/>
      <c r="C139" s="4"/>
      <c r="D139" s="4"/>
      <c r="E139" s="4"/>
      <c r="F139" s="4"/>
      <c r="G139" s="4"/>
      <c r="H139" s="72"/>
      <c r="I139" s="72"/>
      <c r="J139" s="72"/>
      <c r="K139" s="72"/>
      <c r="L139" s="72"/>
    </row>
    <row r="140" ht="12.75" customHeight="1">
      <c r="A140" s="4"/>
      <c r="B140" s="4"/>
      <c r="C140" s="4"/>
      <c r="D140" s="4"/>
      <c r="E140" s="4"/>
      <c r="F140" s="4"/>
      <c r="G140" s="4"/>
      <c r="H140" s="72"/>
      <c r="I140" s="72"/>
      <c r="J140" s="72"/>
      <c r="K140" s="72"/>
      <c r="L140" s="72"/>
    </row>
    <row r="141" ht="12.75" customHeight="1">
      <c r="A141" s="4"/>
      <c r="B141" s="4"/>
      <c r="C141" s="4"/>
      <c r="D141" s="4"/>
      <c r="E141" s="4"/>
      <c r="F141" s="4"/>
      <c r="G141" s="4"/>
      <c r="H141" s="72"/>
      <c r="I141" s="72"/>
      <c r="J141" s="72"/>
      <c r="K141" s="72"/>
      <c r="L141" s="72"/>
    </row>
    <row r="142" ht="12.75" customHeight="1">
      <c r="A142" s="4"/>
      <c r="B142" s="4"/>
      <c r="C142" s="4"/>
      <c r="D142" s="4"/>
      <c r="E142" s="4"/>
      <c r="F142" s="4"/>
      <c r="G142" s="4"/>
      <c r="H142" s="72"/>
      <c r="I142" s="72"/>
      <c r="J142" s="72"/>
      <c r="K142" s="72"/>
      <c r="L142" s="72"/>
    </row>
    <row r="143" ht="12.75" customHeight="1">
      <c r="A143" s="4"/>
      <c r="B143" s="4"/>
      <c r="C143" s="4"/>
      <c r="D143" s="4"/>
      <c r="E143" s="4"/>
      <c r="F143" s="4"/>
      <c r="G143" s="4"/>
      <c r="H143" s="72"/>
      <c r="I143" s="72"/>
      <c r="J143" s="72"/>
      <c r="K143" s="72"/>
      <c r="L143" s="72"/>
    </row>
    <row r="144" ht="12.75" customHeight="1">
      <c r="A144" s="4"/>
      <c r="B144" s="4"/>
      <c r="C144" s="4"/>
      <c r="D144" s="4"/>
      <c r="E144" s="4"/>
      <c r="F144" s="4"/>
      <c r="G144" s="4"/>
      <c r="H144" s="72"/>
      <c r="I144" s="72"/>
      <c r="J144" s="72"/>
      <c r="K144" s="72"/>
      <c r="L144" s="72"/>
    </row>
    <row r="145" ht="12.75" customHeight="1">
      <c r="A145" s="4"/>
      <c r="B145" s="4"/>
      <c r="C145" s="4"/>
      <c r="D145" s="4"/>
      <c r="E145" s="4"/>
      <c r="F145" s="4"/>
      <c r="G145" s="4"/>
      <c r="H145" s="72"/>
      <c r="I145" s="72"/>
      <c r="J145" s="72"/>
      <c r="K145" s="72"/>
      <c r="L145" s="72"/>
    </row>
    <row r="146" ht="12.75" customHeight="1">
      <c r="A146" s="4"/>
      <c r="B146" s="4"/>
      <c r="C146" s="4"/>
      <c r="D146" s="4"/>
      <c r="E146" s="4"/>
      <c r="F146" s="4"/>
      <c r="G146" s="4"/>
      <c r="H146" s="72"/>
      <c r="I146" s="72"/>
      <c r="J146" s="72"/>
      <c r="K146" s="72"/>
      <c r="L146" s="72"/>
    </row>
    <row r="147" ht="12.75" customHeight="1">
      <c r="A147" s="4"/>
      <c r="B147" s="4"/>
      <c r="C147" s="4"/>
      <c r="D147" s="4"/>
      <c r="E147" s="4"/>
      <c r="F147" s="4"/>
      <c r="G147" s="4"/>
      <c r="H147" s="72"/>
      <c r="I147" s="72"/>
      <c r="J147" s="72"/>
      <c r="K147" s="72"/>
      <c r="L147" s="72"/>
    </row>
    <row r="148" ht="12.75" customHeight="1">
      <c r="A148" s="4"/>
      <c r="B148" s="4"/>
      <c r="C148" s="4"/>
      <c r="D148" s="4"/>
      <c r="E148" s="4"/>
      <c r="F148" s="4"/>
      <c r="G148" s="4"/>
      <c r="H148" s="72"/>
      <c r="I148" s="72"/>
      <c r="J148" s="72"/>
      <c r="K148" s="72"/>
      <c r="L148" s="72"/>
    </row>
    <row r="149" ht="12.75" customHeight="1">
      <c r="A149" s="4"/>
      <c r="B149" s="4"/>
      <c r="C149" s="4"/>
      <c r="D149" s="4"/>
      <c r="E149" s="4"/>
      <c r="F149" s="4"/>
      <c r="G149" s="4"/>
      <c r="H149" s="72"/>
      <c r="I149" s="72"/>
      <c r="J149" s="72"/>
      <c r="K149" s="72"/>
      <c r="L149" s="72"/>
    </row>
    <row r="150" ht="12.75" customHeight="1">
      <c r="A150" s="4"/>
      <c r="B150" s="4"/>
      <c r="C150" s="4"/>
      <c r="D150" s="4"/>
      <c r="E150" s="4"/>
      <c r="F150" s="4"/>
      <c r="G150" s="4"/>
      <c r="H150" s="72"/>
      <c r="I150" s="72"/>
      <c r="J150" s="72"/>
      <c r="K150" s="72"/>
      <c r="L150" s="72"/>
    </row>
    <row r="151" ht="12.75" customHeight="1">
      <c r="A151" s="4"/>
      <c r="B151" s="4"/>
      <c r="C151" s="4"/>
      <c r="D151" s="4"/>
      <c r="E151" s="4"/>
      <c r="F151" s="4"/>
      <c r="G151" s="4"/>
      <c r="H151" s="72"/>
      <c r="I151" s="72"/>
      <c r="J151" s="72"/>
      <c r="K151" s="72"/>
      <c r="L151" s="72"/>
    </row>
    <row r="152" ht="12.75" customHeight="1">
      <c r="A152" s="4"/>
      <c r="B152" s="4"/>
      <c r="C152" s="4"/>
      <c r="D152" s="4"/>
      <c r="E152" s="4"/>
      <c r="F152" s="4"/>
      <c r="G152" s="4"/>
      <c r="H152" s="72"/>
      <c r="I152" s="72"/>
      <c r="J152" s="72"/>
      <c r="K152" s="72"/>
      <c r="L152" s="72"/>
    </row>
    <row r="153" ht="12.75" customHeight="1">
      <c r="A153" s="4"/>
      <c r="B153" s="4"/>
      <c r="C153" s="4"/>
      <c r="D153" s="4"/>
      <c r="E153" s="4"/>
      <c r="F153" s="4"/>
      <c r="G153" s="4"/>
      <c r="H153" s="72"/>
      <c r="I153" s="72"/>
      <c r="J153" s="72"/>
      <c r="K153" s="72"/>
      <c r="L153" s="72"/>
    </row>
    <row r="154" ht="12.75" customHeight="1">
      <c r="A154" s="4"/>
      <c r="B154" s="4"/>
      <c r="C154" s="4"/>
      <c r="D154" s="4"/>
      <c r="E154" s="4"/>
      <c r="F154" s="4"/>
      <c r="G154" s="4"/>
      <c r="H154" s="72"/>
      <c r="I154" s="72"/>
      <c r="J154" s="72"/>
      <c r="K154" s="72"/>
      <c r="L154" s="72"/>
    </row>
    <row r="155" ht="12.75" customHeight="1">
      <c r="A155" s="4"/>
      <c r="B155" s="4"/>
      <c r="C155" s="4"/>
      <c r="D155" s="4"/>
      <c r="E155" s="4"/>
      <c r="F155" s="4"/>
      <c r="G155" s="4"/>
      <c r="H155" s="72"/>
      <c r="I155" s="72"/>
      <c r="J155" s="72"/>
      <c r="K155" s="72"/>
      <c r="L155" s="72"/>
    </row>
    <row r="156" ht="12.75" customHeight="1">
      <c r="A156" s="4"/>
      <c r="B156" s="4"/>
      <c r="C156" s="4"/>
      <c r="D156" s="4"/>
      <c r="E156" s="4"/>
      <c r="F156" s="4"/>
      <c r="G156" s="4"/>
      <c r="H156" s="72"/>
      <c r="I156" s="72"/>
      <c r="J156" s="72"/>
      <c r="K156" s="72"/>
      <c r="L156" s="72"/>
    </row>
    <row r="157" ht="12.75" customHeight="1">
      <c r="A157" s="4"/>
      <c r="B157" s="4"/>
      <c r="C157" s="4"/>
      <c r="D157" s="4"/>
      <c r="E157" s="4"/>
      <c r="F157" s="4"/>
      <c r="G157" s="4"/>
      <c r="H157" s="72"/>
      <c r="I157" s="72"/>
      <c r="J157" s="72"/>
      <c r="K157" s="72"/>
      <c r="L157" s="72"/>
    </row>
    <row r="158" ht="12.75" customHeight="1">
      <c r="A158" s="4"/>
      <c r="B158" s="4"/>
      <c r="C158" s="4"/>
      <c r="D158" s="4"/>
      <c r="E158" s="4"/>
      <c r="F158" s="4"/>
      <c r="G158" s="4"/>
      <c r="H158" s="72"/>
      <c r="I158" s="72"/>
      <c r="J158" s="72"/>
      <c r="K158" s="72"/>
      <c r="L158" s="72"/>
    </row>
    <row r="159" ht="12.75" customHeight="1">
      <c r="A159" s="4"/>
      <c r="B159" s="4"/>
      <c r="C159" s="4"/>
      <c r="D159" s="4"/>
      <c r="E159" s="4"/>
      <c r="F159" s="4"/>
      <c r="G159" s="4"/>
      <c r="H159" s="72"/>
      <c r="I159" s="72"/>
      <c r="J159" s="72"/>
      <c r="K159" s="72"/>
      <c r="L159" s="72"/>
    </row>
    <row r="160" ht="12.75" customHeight="1">
      <c r="A160" s="4"/>
      <c r="B160" s="4"/>
      <c r="C160" s="4"/>
      <c r="D160" s="4"/>
      <c r="E160" s="4"/>
      <c r="F160" s="4"/>
      <c r="G160" s="4"/>
      <c r="H160" s="72"/>
      <c r="I160" s="72"/>
      <c r="J160" s="72"/>
      <c r="K160" s="72"/>
      <c r="L160" s="72"/>
    </row>
    <row r="161" ht="12.75" customHeight="1">
      <c r="A161" s="4"/>
      <c r="B161" s="4"/>
      <c r="C161" s="4"/>
      <c r="D161" s="4"/>
      <c r="E161" s="4"/>
      <c r="F161" s="4"/>
      <c r="G161" s="4"/>
      <c r="H161" s="72"/>
      <c r="I161" s="72"/>
      <c r="J161" s="72"/>
      <c r="K161" s="72"/>
      <c r="L161" s="72"/>
    </row>
    <row r="162" ht="12.75" customHeight="1">
      <c r="A162" s="4"/>
      <c r="B162" s="4"/>
      <c r="C162" s="4"/>
      <c r="D162" s="4"/>
      <c r="E162" s="4"/>
      <c r="F162" s="4"/>
      <c r="G162" s="4"/>
      <c r="H162" s="72"/>
      <c r="I162" s="72"/>
      <c r="J162" s="72"/>
      <c r="K162" s="72"/>
      <c r="L162" s="72"/>
    </row>
    <row r="163" ht="12.75" customHeight="1">
      <c r="A163" s="4"/>
      <c r="B163" s="4"/>
      <c r="C163" s="4"/>
      <c r="D163" s="4"/>
      <c r="E163" s="4"/>
      <c r="F163" s="4"/>
      <c r="G163" s="4"/>
      <c r="H163" s="72"/>
      <c r="I163" s="72"/>
      <c r="J163" s="72"/>
      <c r="K163" s="72"/>
      <c r="L163" s="72"/>
    </row>
    <row r="164" ht="12.75" customHeight="1">
      <c r="A164" s="4"/>
      <c r="B164" s="4"/>
      <c r="C164" s="4"/>
      <c r="D164" s="4"/>
      <c r="E164" s="4"/>
      <c r="F164" s="4"/>
      <c r="G164" s="4"/>
      <c r="H164" s="72"/>
      <c r="I164" s="72"/>
      <c r="J164" s="72"/>
      <c r="K164" s="72"/>
      <c r="L164" s="72"/>
    </row>
    <row r="165" ht="12.75" customHeight="1">
      <c r="A165" s="4"/>
      <c r="B165" s="4"/>
      <c r="C165" s="4"/>
      <c r="D165" s="4"/>
      <c r="E165" s="4"/>
      <c r="F165" s="4"/>
      <c r="G165" s="4"/>
      <c r="H165" s="72"/>
      <c r="I165" s="72"/>
      <c r="J165" s="72"/>
      <c r="K165" s="72"/>
      <c r="L165" s="72"/>
    </row>
    <row r="166" ht="12.75" customHeight="1">
      <c r="A166" s="4"/>
      <c r="B166" s="4"/>
      <c r="C166" s="4"/>
      <c r="D166" s="4"/>
      <c r="E166" s="4"/>
      <c r="F166" s="4"/>
      <c r="G166" s="4"/>
      <c r="H166" s="72"/>
      <c r="I166" s="72"/>
      <c r="J166" s="72"/>
      <c r="K166" s="72"/>
      <c r="L166" s="72"/>
    </row>
    <row r="167" ht="12.75" customHeight="1">
      <c r="A167" s="4"/>
      <c r="B167" s="4"/>
      <c r="C167" s="4"/>
      <c r="D167" s="4"/>
      <c r="E167" s="4"/>
      <c r="F167" s="4"/>
      <c r="G167" s="4"/>
      <c r="H167" s="72"/>
      <c r="I167" s="72"/>
      <c r="J167" s="72"/>
      <c r="K167" s="72"/>
      <c r="L167" s="72"/>
    </row>
    <row r="168" ht="12.75" customHeight="1">
      <c r="A168" s="4"/>
      <c r="B168" s="4"/>
      <c r="C168" s="4"/>
      <c r="D168" s="4"/>
      <c r="E168" s="4"/>
      <c r="F168" s="4"/>
      <c r="G168" s="4"/>
      <c r="H168" s="72"/>
      <c r="I168" s="72"/>
      <c r="J168" s="72"/>
      <c r="K168" s="72"/>
      <c r="L168" s="72"/>
    </row>
    <row r="169" ht="12.75" customHeight="1">
      <c r="A169" s="4"/>
      <c r="B169" s="4"/>
      <c r="C169" s="4"/>
      <c r="D169" s="4"/>
      <c r="E169" s="4"/>
      <c r="F169" s="4"/>
      <c r="G169" s="4"/>
      <c r="H169" s="72"/>
      <c r="I169" s="72"/>
      <c r="J169" s="72"/>
      <c r="K169" s="72"/>
      <c r="L169" s="72"/>
    </row>
    <row r="170" ht="12.75" customHeight="1">
      <c r="A170" s="4"/>
      <c r="B170" s="4"/>
      <c r="C170" s="4"/>
      <c r="D170" s="4"/>
      <c r="E170" s="4"/>
      <c r="F170" s="4"/>
      <c r="G170" s="4"/>
      <c r="H170" s="72"/>
      <c r="I170" s="72"/>
      <c r="J170" s="72"/>
      <c r="K170" s="72"/>
      <c r="L170" s="72"/>
    </row>
    <row r="171" ht="12.75" customHeight="1">
      <c r="A171" s="4"/>
      <c r="B171" s="4"/>
      <c r="C171" s="4"/>
      <c r="D171" s="4"/>
      <c r="E171" s="4"/>
      <c r="F171" s="4"/>
      <c r="G171" s="4"/>
      <c r="H171" s="72"/>
      <c r="I171" s="72"/>
      <c r="J171" s="72"/>
      <c r="K171" s="72"/>
      <c r="L171" s="72"/>
    </row>
    <row r="172" ht="12.75" customHeight="1">
      <c r="A172" s="4"/>
      <c r="B172" s="4"/>
      <c r="C172" s="4"/>
      <c r="D172" s="4"/>
      <c r="E172" s="4"/>
      <c r="F172" s="4"/>
      <c r="G172" s="4"/>
      <c r="H172" s="72"/>
      <c r="I172" s="72"/>
      <c r="J172" s="72"/>
      <c r="K172" s="72"/>
      <c r="L172" s="72"/>
    </row>
    <row r="173" ht="12.75" customHeight="1">
      <c r="A173" s="4"/>
      <c r="B173" s="4"/>
      <c r="C173" s="4"/>
      <c r="D173" s="4"/>
      <c r="E173" s="4"/>
      <c r="F173" s="4"/>
      <c r="G173" s="4"/>
      <c r="H173" s="72"/>
      <c r="I173" s="72"/>
      <c r="J173" s="72"/>
      <c r="K173" s="72"/>
      <c r="L173" s="72"/>
    </row>
    <row r="174" ht="12.75" customHeight="1">
      <c r="A174" s="4"/>
      <c r="B174" s="4"/>
      <c r="C174" s="4"/>
      <c r="D174" s="4"/>
      <c r="E174" s="4"/>
      <c r="F174" s="4"/>
      <c r="G174" s="4"/>
      <c r="H174" s="72"/>
      <c r="I174" s="72"/>
      <c r="J174" s="72"/>
      <c r="K174" s="72"/>
      <c r="L174" s="72"/>
    </row>
    <row r="175" ht="12.75" customHeight="1">
      <c r="A175" s="4"/>
      <c r="B175" s="4"/>
      <c r="C175" s="4"/>
      <c r="D175" s="4"/>
      <c r="E175" s="4"/>
      <c r="F175" s="4"/>
      <c r="G175" s="4"/>
      <c r="H175" s="72"/>
      <c r="I175" s="72"/>
      <c r="J175" s="72"/>
      <c r="K175" s="72"/>
      <c r="L175" s="72"/>
    </row>
    <row r="176" ht="12.75" customHeight="1">
      <c r="A176" s="4"/>
      <c r="B176" s="4"/>
      <c r="C176" s="4"/>
      <c r="D176" s="4"/>
      <c r="E176" s="4"/>
      <c r="F176" s="4"/>
      <c r="G176" s="4"/>
      <c r="H176" s="72"/>
      <c r="I176" s="72"/>
      <c r="J176" s="72"/>
      <c r="K176" s="72"/>
      <c r="L176" s="72"/>
    </row>
    <row r="177" ht="12.75" customHeight="1">
      <c r="A177" s="4"/>
      <c r="B177" s="4"/>
      <c r="C177" s="4"/>
      <c r="D177" s="4"/>
      <c r="E177" s="4"/>
      <c r="F177" s="4"/>
      <c r="G177" s="4"/>
      <c r="H177" s="72"/>
      <c r="I177" s="72"/>
      <c r="J177" s="72"/>
      <c r="K177" s="72"/>
      <c r="L177" s="72"/>
    </row>
    <row r="178" ht="12.75" customHeight="1">
      <c r="A178" s="4"/>
      <c r="B178" s="4"/>
      <c r="C178" s="4"/>
      <c r="D178" s="4"/>
      <c r="E178" s="4"/>
      <c r="F178" s="4"/>
      <c r="G178" s="4"/>
      <c r="H178" s="72"/>
      <c r="I178" s="72"/>
      <c r="J178" s="72"/>
      <c r="K178" s="72"/>
      <c r="L178" s="72"/>
    </row>
    <row r="179" ht="12.75" customHeight="1">
      <c r="A179" s="4"/>
      <c r="B179" s="4"/>
      <c r="C179" s="4"/>
      <c r="D179" s="4"/>
      <c r="E179" s="4"/>
      <c r="F179" s="4"/>
      <c r="G179" s="4"/>
      <c r="H179" s="72"/>
      <c r="I179" s="72"/>
      <c r="J179" s="72"/>
      <c r="K179" s="72"/>
      <c r="L179" s="72"/>
    </row>
    <row r="180" ht="12.75" customHeight="1">
      <c r="A180" s="4"/>
      <c r="B180" s="4"/>
      <c r="C180" s="4"/>
      <c r="D180" s="4"/>
      <c r="E180" s="4"/>
      <c r="F180" s="4"/>
      <c r="G180" s="4"/>
      <c r="H180" s="72"/>
      <c r="I180" s="72"/>
      <c r="J180" s="72"/>
      <c r="K180" s="72"/>
      <c r="L180" s="72"/>
    </row>
    <row r="181" ht="12.75" customHeight="1">
      <c r="A181" s="4"/>
      <c r="B181" s="4"/>
      <c r="C181" s="4"/>
      <c r="D181" s="4"/>
      <c r="E181" s="4"/>
      <c r="F181" s="4"/>
      <c r="G181" s="4"/>
      <c r="H181" s="72"/>
      <c r="I181" s="72"/>
      <c r="J181" s="72"/>
      <c r="K181" s="72"/>
      <c r="L181" s="72"/>
    </row>
    <row r="182" ht="12.75" customHeight="1">
      <c r="A182" s="4"/>
      <c r="B182" s="4"/>
      <c r="C182" s="4"/>
      <c r="D182" s="4"/>
      <c r="E182" s="4"/>
      <c r="F182" s="4"/>
      <c r="G182" s="4"/>
      <c r="H182" s="72"/>
      <c r="I182" s="72"/>
      <c r="J182" s="72"/>
      <c r="K182" s="72"/>
      <c r="L182" s="72"/>
    </row>
    <row r="183" ht="12.75" customHeight="1">
      <c r="A183" s="4"/>
      <c r="B183" s="4"/>
      <c r="C183" s="4"/>
      <c r="D183" s="4"/>
      <c r="E183" s="4"/>
      <c r="F183" s="4"/>
      <c r="G183" s="4"/>
      <c r="H183" s="72"/>
      <c r="I183" s="72"/>
      <c r="J183" s="72"/>
      <c r="K183" s="72"/>
      <c r="L183" s="72"/>
    </row>
    <row r="184" ht="12.75" customHeight="1">
      <c r="A184" s="4"/>
      <c r="B184" s="4"/>
      <c r="C184" s="4"/>
      <c r="D184" s="4"/>
      <c r="E184" s="4"/>
      <c r="F184" s="4"/>
      <c r="G184" s="4"/>
      <c r="H184" s="72"/>
      <c r="I184" s="72"/>
      <c r="J184" s="72"/>
      <c r="K184" s="72"/>
      <c r="L184" s="72"/>
    </row>
    <row r="185" ht="12.75" customHeight="1">
      <c r="A185" s="4"/>
      <c r="B185" s="4"/>
      <c r="C185" s="4"/>
      <c r="D185" s="4"/>
      <c r="E185" s="4"/>
      <c r="F185" s="4"/>
      <c r="G185" s="4"/>
      <c r="H185" s="72"/>
      <c r="I185" s="72"/>
      <c r="J185" s="72"/>
      <c r="K185" s="72"/>
      <c r="L185" s="72"/>
    </row>
    <row r="186" ht="12.75" customHeight="1">
      <c r="A186" s="4"/>
      <c r="B186" s="4"/>
      <c r="C186" s="4"/>
      <c r="D186" s="4"/>
      <c r="E186" s="4"/>
      <c r="F186" s="4"/>
      <c r="G186" s="4"/>
      <c r="H186" s="72"/>
      <c r="I186" s="72"/>
      <c r="J186" s="72"/>
      <c r="K186" s="72"/>
      <c r="L186" s="72"/>
    </row>
    <row r="187" ht="12.75" customHeight="1">
      <c r="A187" s="4"/>
      <c r="B187" s="4"/>
      <c r="C187" s="4"/>
      <c r="D187" s="4"/>
      <c r="E187" s="4"/>
      <c r="F187" s="4"/>
      <c r="G187" s="4"/>
      <c r="H187" s="72"/>
      <c r="I187" s="72"/>
      <c r="J187" s="72"/>
      <c r="K187" s="72"/>
      <c r="L187" s="72"/>
    </row>
    <row r="188" ht="12.75" customHeight="1">
      <c r="A188" s="4"/>
      <c r="B188" s="4"/>
      <c r="C188" s="4"/>
      <c r="D188" s="4"/>
      <c r="E188" s="4"/>
      <c r="F188" s="4"/>
      <c r="G188" s="4"/>
      <c r="H188" s="72"/>
      <c r="I188" s="72"/>
      <c r="J188" s="72"/>
      <c r="K188" s="72"/>
      <c r="L188" s="72"/>
    </row>
    <row r="189" ht="12.75" customHeight="1">
      <c r="A189" s="4"/>
      <c r="B189" s="4"/>
      <c r="C189" s="4"/>
      <c r="D189" s="4"/>
      <c r="E189" s="4"/>
      <c r="F189" s="4"/>
      <c r="G189" s="4"/>
      <c r="H189" s="72"/>
      <c r="I189" s="72"/>
      <c r="J189" s="72"/>
      <c r="K189" s="72"/>
      <c r="L189" s="72"/>
    </row>
    <row r="190" ht="12.75" customHeight="1">
      <c r="A190" s="4"/>
      <c r="B190" s="4"/>
      <c r="C190" s="4"/>
      <c r="D190" s="4"/>
      <c r="E190" s="4"/>
      <c r="F190" s="4"/>
      <c r="G190" s="4"/>
      <c r="H190" s="72"/>
      <c r="I190" s="72"/>
      <c r="J190" s="72"/>
      <c r="K190" s="72"/>
      <c r="L190" s="72"/>
    </row>
    <row r="191" ht="12.75" customHeight="1">
      <c r="A191" s="4"/>
      <c r="B191" s="4"/>
      <c r="C191" s="4"/>
      <c r="D191" s="4"/>
      <c r="E191" s="4"/>
      <c r="F191" s="4"/>
      <c r="G191" s="4"/>
      <c r="H191" s="72"/>
      <c r="I191" s="72"/>
      <c r="J191" s="72"/>
      <c r="K191" s="72"/>
      <c r="L191" s="72"/>
    </row>
    <row r="192" ht="12.75" customHeight="1">
      <c r="A192" s="4"/>
      <c r="B192" s="4"/>
      <c r="C192" s="4"/>
      <c r="D192" s="4"/>
      <c r="E192" s="4"/>
      <c r="F192" s="4"/>
      <c r="G192" s="4"/>
      <c r="H192" s="72"/>
      <c r="I192" s="72"/>
      <c r="J192" s="72"/>
      <c r="K192" s="72"/>
      <c r="L192" s="72"/>
    </row>
    <row r="193" ht="12.75" customHeight="1">
      <c r="A193" s="4"/>
      <c r="B193" s="4"/>
      <c r="C193" s="4"/>
      <c r="D193" s="4"/>
      <c r="E193" s="4"/>
      <c r="F193" s="4"/>
      <c r="G193" s="4"/>
      <c r="H193" s="72"/>
      <c r="I193" s="72"/>
      <c r="J193" s="72"/>
      <c r="K193" s="72"/>
      <c r="L193" s="72"/>
    </row>
    <row r="194" ht="12.75" customHeight="1">
      <c r="A194" s="4"/>
      <c r="B194" s="4"/>
      <c r="C194" s="4"/>
      <c r="D194" s="4"/>
      <c r="E194" s="4"/>
      <c r="F194" s="4"/>
      <c r="G194" s="4"/>
      <c r="H194" s="72"/>
      <c r="I194" s="72"/>
      <c r="J194" s="72"/>
      <c r="K194" s="72"/>
      <c r="L194" s="72"/>
    </row>
    <row r="195" ht="12.75" customHeight="1">
      <c r="A195" s="4"/>
      <c r="B195" s="4"/>
      <c r="C195" s="4"/>
      <c r="D195" s="4"/>
      <c r="E195" s="4"/>
      <c r="F195" s="4"/>
      <c r="G195" s="4"/>
      <c r="H195" s="72"/>
      <c r="I195" s="72"/>
      <c r="J195" s="72"/>
      <c r="K195" s="72"/>
      <c r="L195" s="72"/>
    </row>
    <row r="196" ht="12.75" customHeight="1">
      <c r="A196" s="4"/>
      <c r="B196" s="4"/>
      <c r="C196" s="4"/>
      <c r="D196" s="4"/>
      <c r="E196" s="4"/>
      <c r="F196" s="4"/>
      <c r="G196" s="4"/>
      <c r="H196" s="72"/>
      <c r="I196" s="72"/>
      <c r="J196" s="72"/>
      <c r="K196" s="72"/>
      <c r="L196" s="72"/>
    </row>
    <row r="197" ht="12.75" customHeight="1">
      <c r="A197" s="4"/>
      <c r="B197" s="4"/>
      <c r="C197" s="4"/>
      <c r="D197" s="4"/>
      <c r="E197" s="4"/>
      <c r="F197" s="4"/>
      <c r="G197" s="4"/>
      <c r="H197" s="72"/>
      <c r="I197" s="72"/>
      <c r="J197" s="72"/>
      <c r="K197" s="72"/>
      <c r="L197" s="72"/>
    </row>
    <row r="198" ht="12.75" customHeight="1">
      <c r="A198" s="4"/>
      <c r="B198" s="4"/>
      <c r="C198" s="4"/>
      <c r="D198" s="4"/>
      <c r="E198" s="4"/>
      <c r="F198" s="4"/>
      <c r="G198" s="4"/>
      <c r="H198" s="72"/>
      <c r="I198" s="72"/>
      <c r="J198" s="72"/>
      <c r="K198" s="72"/>
      <c r="L198" s="72"/>
    </row>
    <row r="199" ht="12.75" customHeight="1">
      <c r="A199" s="4"/>
      <c r="B199" s="4"/>
      <c r="C199" s="4"/>
      <c r="D199" s="4"/>
      <c r="E199" s="4"/>
      <c r="F199" s="4"/>
      <c r="G199" s="4"/>
      <c r="H199" s="72"/>
      <c r="I199" s="72"/>
      <c r="J199" s="72"/>
      <c r="K199" s="72"/>
      <c r="L199" s="72"/>
    </row>
    <row r="200" ht="12.75" customHeight="1">
      <c r="A200" s="4"/>
      <c r="B200" s="4"/>
      <c r="C200" s="4"/>
      <c r="D200" s="4"/>
      <c r="E200" s="4"/>
      <c r="F200" s="4"/>
      <c r="G200" s="4"/>
      <c r="H200" s="72"/>
      <c r="I200" s="72"/>
      <c r="J200" s="72"/>
      <c r="K200" s="72"/>
      <c r="L200" s="72"/>
    </row>
    <row r="201" ht="12.75" customHeight="1">
      <c r="A201" s="4"/>
      <c r="B201" s="4"/>
      <c r="C201" s="4"/>
      <c r="D201" s="4"/>
      <c r="E201" s="4"/>
      <c r="F201" s="4"/>
      <c r="G201" s="4"/>
      <c r="H201" s="72"/>
      <c r="I201" s="72"/>
      <c r="J201" s="72"/>
      <c r="K201" s="72"/>
      <c r="L201" s="72"/>
    </row>
    <row r="202" ht="12.75" customHeight="1">
      <c r="A202" s="4"/>
      <c r="B202" s="4"/>
      <c r="C202" s="4"/>
      <c r="D202" s="4"/>
      <c r="E202" s="4"/>
      <c r="F202" s="4"/>
      <c r="G202" s="4"/>
      <c r="H202" s="72"/>
      <c r="I202" s="72"/>
      <c r="J202" s="72"/>
      <c r="K202" s="72"/>
      <c r="L202" s="72"/>
    </row>
    <row r="203" ht="12.75" customHeight="1">
      <c r="A203" s="4"/>
      <c r="B203" s="4"/>
      <c r="C203" s="4"/>
      <c r="D203" s="4"/>
      <c r="E203" s="4"/>
      <c r="F203" s="4"/>
      <c r="G203" s="4"/>
      <c r="H203" s="72"/>
      <c r="I203" s="72"/>
      <c r="J203" s="72"/>
      <c r="K203" s="72"/>
      <c r="L203" s="72"/>
    </row>
    <row r="204" ht="12.75" customHeight="1">
      <c r="A204" s="4"/>
      <c r="B204" s="4"/>
      <c r="C204" s="4"/>
      <c r="D204" s="4"/>
      <c r="E204" s="4"/>
      <c r="F204" s="4"/>
      <c r="G204" s="4"/>
      <c r="H204" s="72"/>
      <c r="I204" s="72"/>
      <c r="J204" s="72"/>
      <c r="K204" s="72"/>
      <c r="L204" s="72"/>
    </row>
    <row r="205" ht="12.75" customHeight="1">
      <c r="A205" s="4"/>
      <c r="B205" s="4"/>
      <c r="C205" s="4"/>
      <c r="D205" s="4"/>
      <c r="E205" s="4"/>
      <c r="F205" s="4"/>
      <c r="G205" s="4"/>
      <c r="H205" s="72"/>
      <c r="I205" s="72"/>
      <c r="J205" s="72"/>
      <c r="K205" s="72"/>
      <c r="L205" s="72"/>
    </row>
    <row r="206" ht="12.75" customHeight="1">
      <c r="A206" s="4"/>
      <c r="B206" s="4"/>
      <c r="C206" s="4"/>
      <c r="D206" s="4"/>
      <c r="E206" s="4"/>
      <c r="F206" s="4"/>
      <c r="G206" s="4"/>
      <c r="H206" s="72"/>
      <c r="I206" s="72"/>
      <c r="J206" s="72"/>
      <c r="K206" s="72"/>
      <c r="L206" s="72"/>
    </row>
    <row r="207" ht="12.75" customHeight="1">
      <c r="A207" s="4"/>
      <c r="B207" s="4"/>
      <c r="C207" s="4"/>
      <c r="D207" s="4"/>
      <c r="E207" s="4"/>
      <c r="F207" s="4"/>
      <c r="G207" s="4"/>
      <c r="H207" s="72"/>
      <c r="I207" s="72"/>
      <c r="J207" s="72"/>
      <c r="K207" s="72"/>
      <c r="L207" s="72"/>
    </row>
    <row r="208" ht="12.75" customHeight="1">
      <c r="A208" s="4"/>
      <c r="B208" s="4"/>
      <c r="C208" s="4"/>
      <c r="D208" s="4"/>
      <c r="E208" s="4"/>
      <c r="F208" s="4"/>
      <c r="G208" s="4"/>
      <c r="H208" s="72"/>
      <c r="I208" s="72"/>
      <c r="J208" s="72"/>
      <c r="K208" s="72"/>
      <c r="L208" s="72"/>
    </row>
    <row r="209" ht="12.75" customHeight="1">
      <c r="A209" s="4"/>
      <c r="B209" s="4"/>
      <c r="C209" s="4"/>
      <c r="D209" s="4"/>
      <c r="E209" s="4"/>
      <c r="F209" s="4"/>
      <c r="G209" s="4"/>
      <c r="H209" s="72"/>
      <c r="I209" s="72"/>
      <c r="J209" s="72"/>
      <c r="K209" s="72"/>
      <c r="L209" s="72"/>
    </row>
    <row r="210" ht="12.75" customHeight="1">
      <c r="A210" s="4"/>
      <c r="B210" s="4"/>
      <c r="C210" s="4"/>
      <c r="D210" s="4"/>
      <c r="E210" s="4"/>
      <c r="F210" s="4"/>
      <c r="G210" s="4"/>
      <c r="H210" s="72"/>
      <c r="I210" s="72"/>
      <c r="J210" s="72"/>
      <c r="K210" s="72"/>
      <c r="L210" s="72"/>
    </row>
    <row r="211" ht="12.75" customHeight="1">
      <c r="A211" s="4"/>
      <c r="B211" s="4"/>
      <c r="C211" s="4"/>
      <c r="D211" s="4"/>
      <c r="E211" s="4"/>
      <c r="F211" s="4"/>
      <c r="G211" s="4"/>
      <c r="H211" s="72"/>
      <c r="I211" s="72"/>
      <c r="J211" s="72"/>
      <c r="K211" s="72"/>
      <c r="L211" s="72"/>
    </row>
    <row r="212" ht="12.75" customHeight="1">
      <c r="A212" s="4"/>
      <c r="B212" s="4"/>
      <c r="C212" s="4"/>
      <c r="D212" s="4"/>
      <c r="E212" s="4"/>
      <c r="F212" s="4"/>
      <c r="G212" s="4"/>
      <c r="H212" s="72"/>
      <c r="I212" s="72"/>
      <c r="J212" s="72"/>
      <c r="K212" s="72"/>
      <c r="L212" s="72"/>
    </row>
    <row r="213" ht="12.75" customHeight="1">
      <c r="A213" s="4"/>
      <c r="B213" s="4"/>
      <c r="C213" s="4"/>
      <c r="D213" s="4"/>
      <c r="E213" s="4"/>
      <c r="F213" s="4"/>
      <c r="G213" s="4"/>
      <c r="H213" s="72"/>
      <c r="I213" s="72"/>
      <c r="J213" s="72"/>
      <c r="K213" s="72"/>
      <c r="L213" s="72"/>
    </row>
    <row r="214" ht="12.75" customHeight="1">
      <c r="A214" s="4"/>
      <c r="B214" s="4"/>
      <c r="C214" s="4"/>
      <c r="D214" s="4"/>
      <c r="E214" s="4"/>
      <c r="F214" s="4"/>
      <c r="G214" s="4"/>
      <c r="H214" s="72"/>
      <c r="I214" s="72"/>
      <c r="J214" s="72"/>
      <c r="K214" s="72"/>
      <c r="L214" s="72"/>
    </row>
    <row r="215" ht="12.75" customHeight="1">
      <c r="A215" s="4"/>
      <c r="B215" s="4"/>
      <c r="C215" s="4"/>
      <c r="D215" s="4"/>
      <c r="E215" s="4"/>
      <c r="F215" s="4"/>
      <c r="G215" s="4"/>
      <c r="H215" s="72"/>
      <c r="I215" s="72"/>
      <c r="J215" s="72"/>
      <c r="K215" s="72"/>
      <c r="L215" s="72"/>
    </row>
    <row r="216" ht="12.75" customHeight="1">
      <c r="A216" s="4"/>
      <c r="B216" s="4"/>
      <c r="C216" s="4"/>
      <c r="D216" s="4"/>
      <c r="E216" s="4"/>
      <c r="F216" s="4"/>
      <c r="G216" s="4"/>
      <c r="H216" s="72"/>
      <c r="I216" s="72"/>
      <c r="J216" s="72"/>
      <c r="K216" s="72"/>
      <c r="L216" s="72"/>
    </row>
    <row r="217" ht="12.75" customHeight="1">
      <c r="A217" s="4"/>
      <c r="B217" s="4"/>
      <c r="C217" s="4"/>
      <c r="D217" s="4"/>
      <c r="E217" s="4"/>
      <c r="F217" s="4"/>
      <c r="G217" s="4"/>
      <c r="H217" s="72"/>
      <c r="I217" s="72"/>
      <c r="J217" s="72"/>
      <c r="K217" s="72"/>
      <c r="L217" s="72"/>
    </row>
    <row r="218" ht="12.75" customHeight="1">
      <c r="A218" s="4"/>
      <c r="B218" s="4"/>
      <c r="C218" s="4"/>
      <c r="D218" s="4"/>
      <c r="E218" s="4"/>
      <c r="F218" s="4"/>
      <c r="G218" s="4"/>
      <c r="H218" s="72"/>
      <c r="I218" s="72"/>
      <c r="J218" s="72"/>
      <c r="K218" s="72"/>
      <c r="L218" s="72"/>
    </row>
    <row r="219" ht="12.75" customHeight="1">
      <c r="A219" s="4"/>
      <c r="B219" s="4"/>
      <c r="C219" s="4"/>
      <c r="D219" s="4"/>
      <c r="E219" s="4"/>
      <c r="F219" s="4"/>
      <c r="G219" s="4"/>
      <c r="H219" s="72"/>
      <c r="I219" s="72"/>
      <c r="J219" s="72"/>
      <c r="K219" s="72"/>
      <c r="L219" s="72"/>
    </row>
    <row r="220" ht="12.75" customHeight="1">
      <c r="A220" s="4"/>
      <c r="B220" s="4"/>
      <c r="C220" s="4"/>
      <c r="D220" s="4"/>
      <c r="E220" s="4"/>
      <c r="F220" s="4"/>
      <c r="G220" s="4"/>
      <c r="H220" s="72"/>
      <c r="I220" s="72"/>
      <c r="J220" s="72"/>
      <c r="K220" s="72"/>
      <c r="L220" s="7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948"/>
  <printOptions/>
  <pageMargins bottom="0.787401575" footer="0.0" header="0.0" left="0.511811024" right="0.511811024" top="0.7874015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0"/>
    <col customWidth="1" min="2" max="2" width="17.86"/>
    <col customWidth="1" min="3" max="3" width="16.14"/>
    <col customWidth="1" min="4" max="4" width="19.29"/>
    <col customWidth="1" min="5" max="5" width="20.71"/>
    <col customWidth="1" min="6" max="6" width="9.14"/>
    <col customWidth="1" min="7" max="7" width="20.14"/>
    <col customWidth="1" min="8" max="9" width="10.57"/>
    <col customWidth="1" min="10" max="10" width="14.29"/>
    <col customWidth="1" min="11" max="11" width="15.86"/>
    <col customWidth="1" min="12" max="12" width="9.14"/>
    <col customWidth="1" min="13" max="26" width="8.71"/>
  </cols>
  <sheetData>
    <row r="1">
      <c r="A1" s="82" t="s">
        <v>19</v>
      </c>
      <c r="B1" s="19"/>
      <c r="C1" s="19" t="s">
        <v>229</v>
      </c>
      <c r="D1" s="19" t="s">
        <v>234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9" t="s">
        <v>235</v>
      </c>
      <c r="B2" s="38">
        <v>164.72</v>
      </c>
      <c r="C2" s="83">
        <f t="shared" ref="C2:C6" si="1">B2*176</f>
        <v>28990.72</v>
      </c>
      <c r="D2" s="83">
        <f t="shared" ref="D2:D6" si="2">C2*12</f>
        <v>347888.64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19" t="s">
        <v>236</v>
      </c>
      <c r="B3" s="38">
        <v>186.69</v>
      </c>
      <c r="C3" s="83">
        <f t="shared" si="1"/>
        <v>32857.44</v>
      </c>
      <c r="D3" s="83">
        <f t="shared" si="2"/>
        <v>394289.28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19" t="s">
        <v>237</v>
      </c>
      <c r="B4" s="38">
        <v>208.65</v>
      </c>
      <c r="C4" s="83">
        <f t="shared" si="1"/>
        <v>36722.4</v>
      </c>
      <c r="D4" s="83">
        <f t="shared" si="2"/>
        <v>440668.8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19" t="s">
        <v>238</v>
      </c>
      <c r="B5" s="38">
        <v>223.0</v>
      </c>
      <c r="C5" s="83">
        <f t="shared" si="1"/>
        <v>39248</v>
      </c>
      <c r="D5" s="83">
        <f t="shared" si="2"/>
        <v>470976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19" t="s">
        <v>143</v>
      </c>
      <c r="B6" s="38">
        <v>201.4</v>
      </c>
      <c r="C6" s="83">
        <f t="shared" si="1"/>
        <v>35446.4</v>
      </c>
      <c r="D6" s="83">
        <f t="shared" si="2"/>
        <v>425356.8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82" t="s">
        <v>28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19" t="s">
        <v>235</v>
      </c>
      <c r="B10" s="38">
        <v>108.86</v>
      </c>
      <c r="C10" s="83">
        <f t="shared" ref="C10:C19" si="3">B10*176</f>
        <v>19159.36</v>
      </c>
      <c r="D10" s="83">
        <f t="shared" ref="D10:D19" si="4">C10*12</f>
        <v>229912.32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19" t="s">
        <v>236</v>
      </c>
      <c r="B11" s="38">
        <v>149.38</v>
      </c>
      <c r="C11" s="83">
        <f t="shared" si="3"/>
        <v>26290.88</v>
      </c>
      <c r="D11" s="83">
        <f t="shared" si="4"/>
        <v>315490.56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9" t="s">
        <v>237</v>
      </c>
      <c r="B12" s="38">
        <v>202.62</v>
      </c>
      <c r="C12" s="83">
        <f t="shared" si="3"/>
        <v>35661.12</v>
      </c>
      <c r="D12" s="83">
        <f t="shared" si="4"/>
        <v>427933.44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9" t="s">
        <v>239</v>
      </c>
      <c r="B13" s="38">
        <v>149.38</v>
      </c>
      <c r="C13" s="83">
        <f t="shared" si="3"/>
        <v>26290.88</v>
      </c>
      <c r="D13" s="83">
        <f t="shared" si="4"/>
        <v>315490.56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9" t="s">
        <v>240</v>
      </c>
      <c r="B14" s="38">
        <v>202.62</v>
      </c>
      <c r="C14" s="83">
        <f t="shared" si="3"/>
        <v>35661.12</v>
      </c>
      <c r="D14" s="83">
        <f t="shared" si="4"/>
        <v>427933.44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9" t="s">
        <v>241</v>
      </c>
      <c r="B15" s="38">
        <v>257.64</v>
      </c>
      <c r="C15" s="83">
        <f t="shared" si="3"/>
        <v>45344.64</v>
      </c>
      <c r="D15" s="83">
        <f t="shared" si="4"/>
        <v>544135.68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9" t="s">
        <v>238</v>
      </c>
      <c r="B16" s="38">
        <v>283.32</v>
      </c>
      <c r="C16" s="83">
        <f t="shared" si="3"/>
        <v>49864.32</v>
      </c>
      <c r="D16" s="83">
        <f t="shared" si="4"/>
        <v>598371.84</v>
      </c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9" t="s">
        <v>144</v>
      </c>
      <c r="B17" s="38">
        <v>283.32</v>
      </c>
      <c r="C17" s="83">
        <f t="shared" si="3"/>
        <v>49864.32</v>
      </c>
      <c r="D17" s="83">
        <f t="shared" si="4"/>
        <v>598371.84</v>
      </c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9" t="s">
        <v>147</v>
      </c>
      <c r="B18" s="38">
        <v>222.09</v>
      </c>
      <c r="C18" s="83">
        <f t="shared" si="3"/>
        <v>39087.84</v>
      </c>
      <c r="D18" s="83">
        <f t="shared" si="4"/>
        <v>469054.08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9" t="s">
        <v>153</v>
      </c>
      <c r="B19" s="38">
        <v>193.74</v>
      </c>
      <c r="C19" s="83">
        <f t="shared" si="3"/>
        <v>34098.24</v>
      </c>
      <c r="D19" s="83">
        <f t="shared" si="4"/>
        <v>409178.88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84" t="s">
        <v>64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19" t="s">
        <v>235</v>
      </c>
      <c r="B23" s="38">
        <v>195.08</v>
      </c>
      <c r="C23" s="83">
        <f t="shared" ref="C23:C26" si="5">B23*176</f>
        <v>34334.08</v>
      </c>
      <c r="D23" s="83">
        <f t="shared" ref="D23:D26" si="6">C23*12</f>
        <v>412008.96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19" t="s">
        <v>242</v>
      </c>
      <c r="B24" s="38">
        <v>229.5</v>
      </c>
      <c r="C24" s="83">
        <f t="shared" si="5"/>
        <v>40392</v>
      </c>
      <c r="D24" s="83">
        <f t="shared" si="6"/>
        <v>484704</v>
      </c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19" t="s">
        <v>243</v>
      </c>
      <c r="B25" s="38">
        <v>246.03</v>
      </c>
      <c r="C25" s="83">
        <f t="shared" si="5"/>
        <v>43301.28</v>
      </c>
      <c r="D25" s="83">
        <f t="shared" si="6"/>
        <v>519615.36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19" t="s">
        <v>237</v>
      </c>
      <c r="B26" s="38">
        <v>286.88</v>
      </c>
      <c r="C26" s="83">
        <f t="shared" si="5"/>
        <v>50490.88</v>
      </c>
      <c r="D26" s="83">
        <f t="shared" si="6"/>
        <v>605890.56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84" t="s">
        <v>202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19" t="s">
        <v>235</v>
      </c>
      <c r="B32" s="38">
        <v>101.35</v>
      </c>
      <c r="C32" s="83">
        <f t="shared" ref="C32:C46" si="7">B32*176</f>
        <v>17837.6</v>
      </c>
      <c r="D32" s="83">
        <f t="shared" ref="D32:D46" si="8">C32*12</f>
        <v>214051.2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19" t="s">
        <v>236</v>
      </c>
      <c r="B33" s="38">
        <v>140.53</v>
      </c>
      <c r="C33" s="83">
        <f t="shared" si="7"/>
        <v>24733.28</v>
      </c>
      <c r="D33" s="83">
        <f t="shared" si="8"/>
        <v>296799.36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19" t="s">
        <v>237</v>
      </c>
      <c r="B34" s="38">
        <v>184.03</v>
      </c>
      <c r="C34" s="83">
        <f t="shared" si="7"/>
        <v>32389.28</v>
      </c>
      <c r="D34" s="83">
        <f t="shared" si="8"/>
        <v>388671.36</v>
      </c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19" t="s">
        <v>244</v>
      </c>
      <c r="B35" s="38">
        <v>271.62</v>
      </c>
      <c r="C35" s="83">
        <f t="shared" si="7"/>
        <v>47805.12</v>
      </c>
      <c r="D35" s="83">
        <f t="shared" si="8"/>
        <v>573661.44</v>
      </c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19" t="s">
        <v>239</v>
      </c>
      <c r="B36" s="38">
        <v>128.65</v>
      </c>
      <c r="C36" s="83">
        <f t="shared" si="7"/>
        <v>22642.4</v>
      </c>
      <c r="D36" s="83">
        <f t="shared" si="8"/>
        <v>271708.8</v>
      </c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19" t="s">
        <v>240</v>
      </c>
      <c r="B37" s="38">
        <v>168.46</v>
      </c>
      <c r="C37" s="83">
        <f t="shared" si="7"/>
        <v>29648.96</v>
      </c>
      <c r="D37" s="83">
        <f t="shared" si="8"/>
        <v>355787.52</v>
      </c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19" t="s">
        <v>241</v>
      </c>
      <c r="B38" s="38">
        <v>242.7</v>
      </c>
      <c r="C38" s="83">
        <f t="shared" si="7"/>
        <v>42715.2</v>
      </c>
      <c r="D38" s="83">
        <f t="shared" si="8"/>
        <v>512582.4</v>
      </c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19" t="s">
        <v>245</v>
      </c>
      <c r="B39" s="38">
        <v>273.65</v>
      </c>
      <c r="C39" s="83">
        <f t="shared" si="7"/>
        <v>48162.4</v>
      </c>
      <c r="D39" s="83">
        <f t="shared" si="8"/>
        <v>577948.8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19" t="s">
        <v>246</v>
      </c>
      <c r="B40" s="38">
        <v>167.25</v>
      </c>
      <c r="C40" s="83">
        <f t="shared" si="7"/>
        <v>29436</v>
      </c>
      <c r="D40" s="83">
        <f t="shared" si="8"/>
        <v>353232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19" t="s">
        <v>247</v>
      </c>
      <c r="B41" s="38">
        <v>210.81</v>
      </c>
      <c r="C41" s="83">
        <f t="shared" si="7"/>
        <v>37102.56</v>
      </c>
      <c r="D41" s="83">
        <f t="shared" si="8"/>
        <v>445230.72</v>
      </c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19" t="s">
        <v>248</v>
      </c>
      <c r="B42" s="38">
        <v>221.96</v>
      </c>
      <c r="C42" s="83">
        <f t="shared" si="7"/>
        <v>39064.96</v>
      </c>
      <c r="D42" s="83">
        <f t="shared" si="8"/>
        <v>468779.52</v>
      </c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19" t="s">
        <v>249</v>
      </c>
      <c r="B43" s="38">
        <v>66.19</v>
      </c>
      <c r="C43" s="83">
        <f t="shared" si="7"/>
        <v>11649.44</v>
      </c>
      <c r="D43" s="83">
        <f t="shared" si="8"/>
        <v>139793.28</v>
      </c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19" t="s">
        <v>250</v>
      </c>
      <c r="B44" s="38">
        <v>140.3</v>
      </c>
      <c r="C44" s="83">
        <f t="shared" si="7"/>
        <v>24692.8</v>
      </c>
      <c r="D44" s="83">
        <f t="shared" si="8"/>
        <v>296313.6</v>
      </c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19" t="s">
        <v>251</v>
      </c>
      <c r="B45" s="38">
        <v>183.72</v>
      </c>
      <c r="C45" s="83">
        <f t="shared" si="7"/>
        <v>32334.72</v>
      </c>
      <c r="D45" s="83">
        <f t="shared" si="8"/>
        <v>388016.64</v>
      </c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19" t="s">
        <v>252</v>
      </c>
      <c r="B46" s="38">
        <v>222.97</v>
      </c>
      <c r="C46" s="83">
        <f t="shared" si="7"/>
        <v>39242.72</v>
      </c>
      <c r="D46" s="83">
        <f t="shared" si="8"/>
        <v>470912.64</v>
      </c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19"/>
      <c r="B47" s="38"/>
      <c r="C47" s="83"/>
      <c r="D47" s="83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19"/>
      <c r="B48" s="38"/>
      <c r="C48" s="83"/>
      <c r="D48" s="83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19"/>
      <c r="B49" s="38"/>
      <c r="C49" s="83"/>
      <c r="D49" s="83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82" t="s">
        <v>253</v>
      </c>
      <c r="B50" s="38"/>
      <c r="C50" s="83"/>
      <c r="D50" s="83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82" t="s">
        <v>254</v>
      </c>
      <c r="B51" s="85" t="s">
        <v>255</v>
      </c>
      <c r="C51" s="85" t="s">
        <v>256</v>
      </c>
      <c r="D51" s="85" t="s">
        <v>257</v>
      </c>
      <c r="E51" s="85" t="s">
        <v>258</v>
      </c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19" t="s">
        <v>259</v>
      </c>
      <c r="B52" s="86">
        <v>166.79</v>
      </c>
      <c r="C52" s="86">
        <v>187.62</v>
      </c>
      <c r="D52" s="86">
        <v>269.73</v>
      </c>
      <c r="E52" s="86">
        <v>340.76</v>
      </c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19" t="s">
        <v>260</v>
      </c>
      <c r="B53" s="86">
        <v>121.15</v>
      </c>
      <c r="C53" s="86">
        <v>176.82</v>
      </c>
      <c r="D53" s="86">
        <v>232.93</v>
      </c>
      <c r="E53" s="86">
        <v>354.93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19" t="s">
        <v>261</v>
      </c>
      <c r="B54" s="86">
        <v>129.41</v>
      </c>
      <c r="C54" s="86">
        <v>170.67</v>
      </c>
      <c r="D54" s="86">
        <v>250.72</v>
      </c>
      <c r="E54" s="86">
        <v>330.54</v>
      </c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19" t="s">
        <v>262</v>
      </c>
      <c r="B55" s="86">
        <v>128.88</v>
      </c>
      <c r="C55" s="86">
        <v>193.71</v>
      </c>
      <c r="D55" s="86">
        <v>291.54</v>
      </c>
      <c r="E55" s="86">
        <v>378.39</v>
      </c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19" t="s">
        <v>263</v>
      </c>
      <c r="B56" s="86">
        <v>125.02</v>
      </c>
      <c r="C56" s="86">
        <v>202.85</v>
      </c>
      <c r="D56" s="86">
        <v>292.7</v>
      </c>
      <c r="E56" s="86">
        <v>367.04</v>
      </c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19" t="s">
        <v>264</v>
      </c>
      <c r="B57" s="86">
        <v>128.85</v>
      </c>
      <c r="C57" s="86">
        <v>180.39</v>
      </c>
      <c r="D57" s="86">
        <v>280.98</v>
      </c>
      <c r="E57" s="86">
        <v>356.85</v>
      </c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19" t="s">
        <v>265</v>
      </c>
      <c r="B58" s="86">
        <v>0.0</v>
      </c>
      <c r="C58" s="86">
        <v>0.0</v>
      </c>
      <c r="D58" s="86">
        <v>297.32</v>
      </c>
      <c r="E58" s="86">
        <v>397.84</v>
      </c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19" t="s">
        <v>266</v>
      </c>
      <c r="B59" s="86">
        <v>0.0</v>
      </c>
      <c r="C59" s="86">
        <v>0.0</v>
      </c>
      <c r="D59" s="86">
        <v>297.32</v>
      </c>
      <c r="E59" s="86">
        <v>397.84</v>
      </c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19" t="s">
        <v>267</v>
      </c>
      <c r="B60" s="86">
        <v>125.1</v>
      </c>
      <c r="C60" s="86">
        <v>159.14</v>
      </c>
      <c r="D60" s="86">
        <v>209.64</v>
      </c>
      <c r="E60" s="86">
        <v>354.93</v>
      </c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19" t="s">
        <v>268</v>
      </c>
      <c r="B61" s="86">
        <v>115.03</v>
      </c>
      <c r="C61" s="86">
        <v>158.72</v>
      </c>
      <c r="D61" s="86">
        <v>250.72</v>
      </c>
      <c r="E61" s="86">
        <v>326.99</v>
      </c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19" t="s">
        <v>269</v>
      </c>
      <c r="B62" s="86">
        <v>0.0</v>
      </c>
      <c r="C62" s="86">
        <v>0.0</v>
      </c>
      <c r="D62" s="86">
        <v>0.0</v>
      </c>
      <c r="E62" s="86">
        <v>692.25</v>
      </c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19" t="s">
        <v>270</v>
      </c>
      <c r="B63" s="86">
        <v>0.0</v>
      </c>
      <c r="C63" s="86">
        <v>0.0</v>
      </c>
      <c r="D63" s="86">
        <v>0.0</v>
      </c>
      <c r="E63" s="86">
        <v>692.25</v>
      </c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19" t="s">
        <v>271</v>
      </c>
      <c r="B64" s="86">
        <v>166.79</v>
      </c>
      <c r="C64" s="86">
        <v>206.92</v>
      </c>
      <c r="D64" s="86">
        <v>285.93</v>
      </c>
      <c r="E64" s="86">
        <v>402.3</v>
      </c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19" t="s">
        <v>272</v>
      </c>
      <c r="B65" s="86">
        <v>118.51</v>
      </c>
      <c r="C65" s="86">
        <v>162.67</v>
      </c>
      <c r="D65" s="86">
        <v>219.0</v>
      </c>
      <c r="E65" s="86">
        <v>310.0</v>
      </c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19" t="s">
        <v>273</v>
      </c>
      <c r="B66" s="86">
        <v>166.79</v>
      </c>
      <c r="C66" s="86">
        <v>206.92</v>
      </c>
      <c r="D66" s="86">
        <v>285.93</v>
      </c>
      <c r="E66" s="86">
        <v>402.3</v>
      </c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19" t="s">
        <v>119</v>
      </c>
      <c r="B67" s="86">
        <v>166.79</v>
      </c>
      <c r="C67" s="86">
        <v>206.92</v>
      </c>
      <c r="D67" s="86">
        <v>285.93</v>
      </c>
      <c r="E67" s="86">
        <v>402.3</v>
      </c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19" t="s">
        <v>274</v>
      </c>
      <c r="B68" s="86">
        <v>166.79</v>
      </c>
      <c r="C68" s="86">
        <v>206.92</v>
      </c>
      <c r="D68" s="86">
        <v>285.93</v>
      </c>
      <c r="E68" s="86">
        <v>402.3</v>
      </c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19" t="s">
        <v>275</v>
      </c>
      <c r="B69" s="86">
        <v>166.79</v>
      </c>
      <c r="C69" s="86">
        <v>206.92</v>
      </c>
      <c r="D69" s="86">
        <v>285.93</v>
      </c>
      <c r="E69" s="86">
        <v>402.3</v>
      </c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19" t="s">
        <v>276</v>
      </c>
      <c r="B70" s="86">
        <v>142.38</v>
      </c>
      <c r="C70" s="86">
        <v>176.63</v>
      </c>
      <c r="D70" s="86">
        <v>255.16</v>
      </c>
      <c r="E70" s="86">
        <v>390.23</v>
      </c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19" t="s">
        <v>277</v>
      </c>
      <c r="B71" s="86">
        <v>0.0</v>
      </c>
      <c r="C71" s="86">
        <v>179.24</v>
      </c>
      <c r="D71" s="86">
        <v>279.33</v>
      </c>
      <c r="E71" s="86">
        <v>374.61</v>
      </c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19" t="s">
        <v>278</v>
      </c>
      <c r="B72" s="86">
        <v>122.46</v>
      </c>
      <c r="C72" s="86">
        <v>176.82</v>
      </c>
      <c r="D72" s="86">
        <v>209.64</v>
      </c>
      <c r="E72" s="86">
        <v>339.5</v>
      </c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19" t="s">
        <v>279</v>
      </c>
      <c r="B73" s="86">
        <v>0.0</v>
      </c>
      <c r="C73" s="86">
        <v>175.35</v>
      </c>
      <c r="D73" s="86">
        <v>251.4</v>
      </c>
      <c r="E73" s="86">
        <v>344.64</v>
      </c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19" t="s">
        <v>280</v>
      </c>
      <c r="B74" s="86">
        <v>122.88</v>
      </c>
      <c r="C74" s="86">
        <v>170.67</v>
      </c>
      <c r="D74" s="86">
        <v>245.45</v>
      </c>
      <c r="E74" s="86">
        <v>330.54</v>
      </c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19" t="s">
        <v>281</v>
      </c>
      <c r="B75" s="86">
        <v>166.79</v>
      </c>
      <c r="C75" s="86">
        <v>206.92</v>
      </c>
      <c r="D75" s="86">
        <v>285.93</v>
      </c>
      <c r="E75" s="86">
        <v>402.3</v>
      </c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19" t="s">
        <v>282</v>
      </c>
      <c r="B76" s="86">
        <v>166.79</v>
      </c>
      <c r="C76" s="86">
        <v>206.92</v>
      </c>
      <c r="D76" s="86">
        <v>285.93</v>
      </c>
      <c r="E76" s="86">
        <v>402.3</v>
      </c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19" t="s">
        <v>283</v>
      </c>
      <c r="B77" s="86">
        <v>166.79</v>
      </c>
      <c r="C77" s="86">
        <v>206.92</v>
      </c>
      <c r="D77" s="86">
        <v>285.93</v>
      </c>
      <c r="E77" s="86">
        <v>402.3</v>
      </c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19" t="s">
        <v>284</v>
      </c>
      <c r="B78" s="86">
        <v>0.0</v>
      </c>
      <c r="C78" s="86">
        <v>0.0</v>
      </c>
      <c r="D78" s="86">
        <v>291.18</v>
      </c>
      <c r="E78" s="86">
        <v>379.92</v>
      </c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19" t="s">
        <v>285</v>
      </c>
      <c r="B79" s="86">
        <v>0.0</v>
      </c>
      <c r="C79" s="86">
        <v>0.0</v>
      </c>
      <c r="D79" s="86">
        <v>306.51</v>
      </c>
      <c r="E79" s="86">
        <v>410.14</v>
      </c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19" t="s">
        <v>286</v>
      </c>
      <c r="B80" s="86">
        <v>166.79</v>
      </c>
      <c r="C80" s="86">
        <v>187.62</v>
      </c>
      <c r="D80" s="86">
        <v>269.73</v>
      </c>
      <c r="E80" s="86">
        <v>329.77</v>
      </c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19" t="s">
        <v>287</v>
      </c>
      <c r="B81" s="86">
        <v>0.0</v>
      </c>
      <c r="C81" s="86">
        <v>0.0</v>
      </c>
      <c r="D81" s="86">
        <v>291.18</v>
      </c>
      <c r="E81" s="86">
        <v>379.92</v>
      </c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19" t="s">
        <v>150</v>
      </c>
      <c r="B82" s="86">
        <v>0.0</v>
      </c>
      <c r="C82" s="86">
        <v>0.0</v>
      </c>
      <c r="D82" s="86">
        <v>275.86</v>
      </c>
      <c r="E82" s="86">
        <v>379.92</v>
      </c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19" t="s">
        <v>288</v>
      </c>
      <c r="B83" s="86">
        <v>119.57</v>
      </c>
      <c r="C83" s="86">
        <v>170.55</v>
      </c>
      <c r="D83" s="86">
        <v>230.0</v>
      </c>
      <c r="E83" s="86">
        <v>310.0</v>
      </c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19" t="s">
        <v>289</v>
      </c>
      <c r="B84" s="86">
        <v>119.57</v>
      </c>
      <c r="C84" s="86">
        <v>170.55</v>
      </c>
      <c r="D84" s="86">
        <v>230.0</v>
      </c>
      <c r="E84" s="86">
        <v>310.0</v>
      </c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19"/>
      <c r="B93" s="19" t="s">
        <v>290</v>
      </c>
      <c r="C93" s="19" t="s">
        <v>291</v>
      </c>
      <c r="D93" s="19"/>
      <c r="E93" s="19"/>
      <c r="F93" s="19"/>
      <c r="G93" s="87" t="s">
        <v>225</v>
      </c>
      <c r="H93" s="88" t="s">
        <v>292</v>
      </c>
      <c r="I93" s="88" t="s">
        <v>293</v>
      </c>
      <c r="J93" s="88" t="s">
        <v>294</v>
      </c>
      <c r="K93" s="88" t="s">
        <v>295</v>
      </c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19"/>
      <c r="B94" s="19" t="s">
        <v>296</v>
      </c>
      <c r="C94" s="19" t="s">
        <v>297</v>
      </c>
      <c r="D94" s="19"/>
      <c r="E94" s="19"/>
      <c r="F94" s="19"/>
      <c r="G94" s="19" t="s">
        <v>150</v>
      </c>
      <c r="H94" s="38">
        <v>192.88</v>
      </c>
      <c r="I94" s="89">
        <v>168.0</v>
      </c>
      <c r="J94" s="38">
        <f t="shared" ref="J94:J99" si="9">H94*I94</f>
        <v>32403.84</v>
      </c>
      <c r="K94" s="38">
        <f t="shared" ref="K94:K99" si="10">J94*12</f>
        <v>388846.08</v>
      </c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19"/>
      <c r="B95" s="19" t="s">
        <v>298</v>
      </c>
      <c r="C95" s="19" t="s">
        <v>299</v>
      </c>
      <c r="D95" s="19"/>
      <c r="E95" s="19"/>
      <c r="F95" s="19"/>
      <c r="G95" s="19" t="s">
        <v>238</v>
      </c>
      <c r="H95" s="38">
        <v>283.32</v>
      </c>
      <c r="I95" s="89">
        <v>168.0</v>
      </c>
      <c r="J95" s="38">
        <f t="shared" si="9"/>
        <v>47597.76</v>
      </c>
      <c r="K95" s="38">
        <f t="shared" si="10"/>
        <v>571173.12</v>
      </c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19"/>
      <c r="B96" s="19" t="s">
        <v>300</v>
      </c>
      <c r="C96" s="19" t="s">
        <v>301</v>
      </c>
      <c r="D96" s="19"/>
      <c r="E96" s="19"/>
      <c r="F96" s="19"/>
      <c r="G96" s="19" t="s">
        <v>302</v>
      </c>
      <c r="H96" s="38">
        <v>257.64</v>
      </c>
      <c r="I96" s="89">
        <v>168.0</v>
      </c>
      <c r="J96" s="38">
        <f t="shared" si="9"/>
        <v>43283.52</v>
      </c>
      <c r="K96" s="38">
        <f t="shared" si="10"/>
        <v>519402.24</v>
      </c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19"/>
      <c r="B97" s="19" t="s">
        <v>303</v>
      </c>
      <c r="C97" s="19" t="s">
        <v>304</v>
      </c>
      <c r="D97" s="19"/>
      <c r="E97" s="19"/>
      <c r="F97" s="19"/>
      <c r="G97" s="19" t="s">
        <v>302</v>
      </c>
      <c r="H97" s="38">
        <v>257.64</v>
      </c>
      <c r="I97" s="89">
        <v>168.0</v>
      </c>
      <c r="J97" s="38">
        <f t="shared" si="9"/>
        <v>43283.52</v>
      </c>
      <c r="K97" s="38">
        <f t="shared" si="10"/>
        <v>519402.24</v>
      </c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19"/>
      <c r="B98" s="19"/>
      <c r="C98" s="19"/>
      <c r="D98" s="19"/>
      <c r="E98" s="19"/>
      <c r="F98" s="19"/>
      <c r="G98" s="19" t="s">
        <v>302</v>
      </c>
      <c r="H98" s="38">
        <v>257.64</v>
      </c>
      <c r="I98" s="89">
        <v>168.0</v>
      </c>
      <c r="J98" s="38">
        <f t="shared" si="9"/>
        <v>43283.52</v>
      </c>
      <c r="K98" s="38">
        <f t="shared" si="10"/>
        <v>519402.24</v>
      </c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19"/>
      <c r="B99" s="19"/>
      <c r="C99" s="19"/>
      <c r="D99" s="19"/>
      <c r="E99" s="19"/>
      <c r="F99" s="19"/>
      <c r="G99" s="19" t="s">
        <v>156</v>
      </c>
      <c r="H99" s="38">
        <v>193.74</v>
      </c>
      <c r="I99" s="89">
        <v>168.0</v>
      </c>
      <c r="J99" s="38">
        <f t="shared" si="9"/>
        <v>32548.32</v>
      </c>
      <c r="K99" s="38">
        <f t="shared" si="10"/>
        <v>390579.84</v>
      </c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90">
        <f t="shared" ref="J100:K100" si="11">SUM(J94:J99)</f>
        <v>242400.48</v>
      </c>
      <c r="K100" s="90">
        <f t="shared" si="11"/>
        <v>2908805.76</v>
      </c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19"/>
      <c r="B101" s="19" t="s">
        <v>305</v>
      </c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19"/>
      <c r="B102" s="19" t="s">
        <v>306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19"/>
      <c r="B103" s="19" t="s">
        <v>307</v>
      </c>
      <c r="C103" s="19"/>
      <c r="D103" s="19"/>
      <c r="E103" s="19"/>
      <c r="F103" s="19"/>
      <c r="G103" s="87" t="s">
        <v>225</v>
      </c>
      <c r="H103" s="88" t="s">
        <v>292</v>
      </c>
      <c r="I103" s="88" t="s">
        <v>293</v>
      </c>
      <c r="J103" s="88" t="s">
        <v>294</v>
      </c>
      <c r="K103" s="88" t="s">
        <v>308</v>
      </c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19"/>
      <c r="B104" s="19" t="s">
        <v>309</v>
      </c>
      <c r="C104" s="19"/>
      <c r="D104" s="19"/>
      <c r="E104" s="19"/>
      <c r="F104" s="19"/>
      <c r="G104" s="19" t="s">
        <v>150</v>
      </c>
      <c r="H104" s="38">
        <v>192.88</v>
      </c>
      <c r="I104" s="89">
        <v>168.0</v>
      </c>
      <c r="J104" s="38">
        <f t="shared" ref="J104:J109" si="12">H104*I104</f>
        <v>32403.84</v>
      </c>
      <c r="K104" s="38">
        <f t="shared" ref="K104:K109" si="13">J104*10</f>
        <v>324038.4</v>
      </c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19"/>
      <c r="B105" s="19" t="s">
        <v>310</v>
      </c>
      <c r="C105" s="19"/>
      <c r="D105" s="19"/>
      <c r="E105" s="19"/>
      <c r="F105" s="19"/>
      <c r="G105" s="19" t="s">
        <v>302</v>
      </c>
      <c r="H105" s="38">
        <v>257.64</v>
      </c>
      <c r="I105" s="89">
        <v>168.0</v>
      </c>
      <c r="J105" s="38">
        <f t="shared" si="12"/>
        <v>43283.52</v>
      </c>
      <c r="K105" s="38">
        <f t="shared" si="13"/>
        <v>432835.2</v>
      </c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19"/>
      <c r="B106" s="19" t="s">
        <v>311</v>
      </c>
      <c r="C106" s="19"/>
      <c r="D106" s="19"/>
      <c r="E106" s="19"/>
      <c r="F106" s="19"/>
      <c r="G106" s="19" t="s">
        <v>302</v>
      </c>
      <c r="H106" s="38">
        <v>257.64</v>
      </c>
      <c r="I106" s="89">
        <v>168.0</v>
      </c>
      <c r="J106" s="38">
        <f t="shared" si="12"/>
        <v>43283.52</v>
      </c>
      <c r="K106" s="38">
        <f t="shared" si="13"/>
        <v>432835.2</v>
      </c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19"/>
      <c r="B107" s="19"/>
      <c r="C107" s="19"/>
      <c r="D107" s="19"/>
      <c r="E107" s="19"/>
      <c r="F107" s="19"/>
      <c r="G107" s="19" t="s">
        <v>302</v>
      </c>
      <c r="H107" s="38">
        <v>257.64</v>
      </c>
      <c r="I107" s="89">
        <v>168.0</v>
      </c>
      <c r="J107" s="38">
        <f t="shared" si="12"/>
        <v>43283.52</v>
      </c>
      <c r="K107" s="38">
        <f t="shared" si="13"/>
        <v>432835.2</v>
      </c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19"/>
      <c r="B108" s="19"/>
      <c r="C108" s="19"/>
      <c r="D108" s="19"/>
      <c r="E108" s="19"/>
      <c r="F108" s="19"/>
      <c r="G108" s="19" t="s">
        <v>302</v>
      </c>
      <c r="H108" s="38">
        <v>257.64</v>
      </c>
      <c r="I108" s="89">
        <v>168.0</v>
      </c>
      <c r="J108" s="38">
        <f t="shared" si="12"/>
        <v>43283.52</v>
      </c>
      <c r="K108" s="38">
        <f t="shared" si="13"/>
        <v>432835.2</v>
      </c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19"/>
      <c r="B109" s="19" t="s">
        <v>312</v>
      </c>
      <c r="C109" s="19" t="s">
        <v>313</v>
      </c>
      <c r="D109" s="19"/>
      <c r="E109" s="19"/>
      <c r="F109" s="19"/>
      <c r="G109" s="19" t="s">
        <v>156</v>
      </c>
      <c r="H109" s="38">
        <v>193.74</v>
      </c>
      <c r="I109" s="89">
        <v>168.0</v>
      </c>
      <c r="J109" s="38">
        <f t="shared" si="12"/>
        <v>32548.32</v>
      </c>
      <c r="K109" s="38">
        <f t="shared" si="13"/>
        <v>325483.2</v>
      </c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90">
        <f t="shared" ref="J110:K110" si="14">SUM(J104:J109)</f>
        <v>238086.24</v>
      </c>
      <c r="K110" s="90">
        <f t="shared" si="14"/>
        <v>2380862.4</v>
      </c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19"/>
      <c r="B111" s="19" t="s">
        <v>314</v>
      </c>
      <c r="C111" s="19" t="s">
        <v>313</v>
      </c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19"/>
      <c r="B113" s="19" t="s">
        <v>315</v>
      </c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91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34.57"/>
    <col customWidth="1" min="3" max="3" width="19.0"/>
    <col customWidth="1" min="4" max="4" width="10.86"/>
    <col customWidth="1" min="5" max="5" width="9.43"/>
    <col customWidth="1" min="6" max="6" width="28.43"/>
    <col customWidth="1" min="7" max="7" width="10.57"/>
    <col customWidth="1" min="8" max="8" width="15.86"/>
    <col customWidth="1" min="9" max="20" width="14.29"/>
    <col customWidth="1" min="21" max="26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/>
      <c r="H1" s="1" t="s">
        <v>6</v>
      </c>
      <c r="I1" s="3">
        <v>46023.0</v>
      </c>
      <c r="J1" s="3">
        <v>46054.0</v>
      </c>
      <c r="K1" s="3">
        <v>46082.0</v>
      </c>
      <c r="L1" s="3">
        <v>46113.0</v>
      </c>
      <c r="M1" s="3">
        <v>46143.0</v>
      </c>
      <c r="N1" s="3">
        <v>46174.0</v>
      </c>
      <c r="O1" s="3">
        <v>46204.0</v>
      </c>
      <c r="P1" s="3">
        <v>46235.0</v>
      </c>
      <c r="Q1" s="3">
        <v>46266.0</v>
      </c>
      <c r="R1" s="3">
        <v>46296.0</v>
      </c>
      <c r="S1" s="3">
        <v>46327.0</v>
      </c>
      <c r="T1" s="3">
        <v>46357.0</v>
      </c>
    </row>
    <row r="2">
      <c r="A2" s="4" t="s">
        <v>14</v>
      </c>
      <c r="B2" s="4" t="s">
        <v>15</v>
      </c>
      <c r="C2" s="5" t="s">
        <v>9</v>
      </c>
      <c r="H2" s="6">
        <f t="shared" ref="H2:H3" si="1">SUM(I2:T2)</f>
        <v>3955366</v>
      </c>
      <c r="I2" s="7">
        <f>329613.833333333</f>
        <v>329613.8333</v>
      </c>
      <c r="J2" s="7">
        <v>329613.8333333333</v>
      </c>
      <c r="K2" s="7">
        <v>329613.8333333333</v>
      </c>
      <c r="L2" s="7">
        <v>329613.8333333333</v>
      </c>
      <c r="M2" s="7">
        <v>329613.8333333333</v>
      </c>
      <c r="N2" s="7">
        <v>329613.8333333333</v>
      </c>
      <c r="O2" s="7">
        <v>329613.8333333333</v>
      </c>
      <c r="P2" s="7">
        <v>329613.8333333333</v>
      </c>
      <c r="Q2" s="7">
        <v>329613.8333333333</v>
      </c>
      <c r="R2" s="7">
        <v>329613.8333333333</v>
      </c>
      <c r="S2" s="7">
        <v>329613.8333333333</v>
      </c>
      <c r="T2" s="7">
        <v>329613.8333333333</v>
      </c>
    </row>
    <row r="3">
      <c r="A3" s="4" t="s">
        <v>14</v>
      </c>
      <c r="B3" s="4" t="s">
        <v>15</v>
      </c>
      <c r="C3" s="5" t="s">
        <v>45</v>
      </c>
      <c r="H3" s="6">
        <f t="shared" si="1"/>
        <v>451723.1798</v>
      </c>
      <c r="I3" s="7">
        <v>155501.0356</v>
      </c>
      <c r="J3" s="7">
        <v>296222.1442</v>
      </c>
      <c r="K3" s="7">
        <v>0.0</v>
      </c>
      <c r="L3" s="7">
        <v>0.0</v>
      </c>
      <c r="M3" s="7">
        <v>0.0</v>
      </c>
      <c r="N3" s="7">
        <v>0.0</v>
      </c>
      <c r="O3" s="7">
        <v>0.0</v>
      </c>
      <c r="P3" s="7">
        <v>0.0</v>
      </c>
      <c r="Q3" s="7">
        <v>0.0</v>
      </c>
      <c r="R3" s="7">
        <v>0.0</v>
      </c>
      <c r="S3" s="7">
        <v>0.0</v>
      </c>
      <c r="T3" s="7">
        <v>0.0</v>
      </c>
    </row>
    <row r="4">
      <c r="A4" s="4"/>
      <c r="B4" s="4"/>
      <c r="H4" s="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4" t="s">
        <v>14</v>
      </c>
      <c r="B5" s="4" t="s">
        <v>15</v>
      </c>
      <c r="C5" s="8" t="s">
        <v>46</v>
      </c>
      <c r="H5" s="6">
        <f>SUM(I5:T5)</f>
        <v>3503642.82</v>
      </c>
      <c r="I5" s="7">
        <f t="shared" ref="I5:T5" si="2">I2-I3</f>
        <v>174112.7977</v>
      </c>
      <c r="J5" s="7">
        <f t="shared" si="2"/>
        <v>33391.68913</v>
      </c>
      <c r="K5" s="7">
        <f t="shared" si="2"/>
        <v>329613.8333</v>
      </c>
      <c r="L5" s="7">
        <f t="shared" si="2"/>
        <v>329613.8333</v>
      </c>
      <c r="M5" s="7">
        <f t="shared" si="2"/>
        <v>329613.8333</v>
      </c>
      <c r="N5" s="7">
        <f t="shared" si="2"/>
        <v>329613.8333</v>
      </c>
      <c r="O5" s="7">
        <f t="shared" si="2"/>
        <v>329613.8333</v>
      </c>
      <c r="P5" s="7">
        <f t="shared" si="2"/>
        <v>329613.8333</v>
      </c>
      <c r="Q5" s="7">
        <f t="shared" si="2"/>
        <v>329613.8333</v>
      </c>
      <c r="R5" s="7">
        <f t="shared" si="2"/>
        <v>329613.8333</v>
      </c>
      <c r="S5" s="7">
        <f t="shared" si="2"/>
        <v>329613.8333</v>
      </c>
      <c r="T5" s="7">
        <f t="shared" si="2"/>
        <v>329613.8333</v>
      </c>
    </row>
    <row r="7">
      <c r="A7" s="4" t="s">
        <v>14</v>
      </c>
      <c r="B7" s="4" t="s">
        <v>15</v>
      </c>
      <c r="C7" s="8" t="s">
        <v>316</v>
      </c>
      <c r="H7" s="6">
        <f>H5</f>
        <v>3503642.82</v>
      </c>
      <c r="I7" s="92"/>
      <c r="J7" s="92"/>
      <c r="K7" s="7">
        <f t="shared" ref="K7:T7" si="3">$H$7/10</f>
        <v>350364.282</v>
      </c>
      <c r="L7" s="7">
        <f t="shared" si="3"/>
        <v>350364.282</v>
      </c>
      <c r="M7" s="7">
        <f t="shared" si="3"/>
        <v>350364.282</v>
      </c>
      <c r="N7" s="7">
        <f t="shared" si="3"/>
        <v>350364.282</v>
      </c>
      <c r="O7" s="7">
        <f t="shared" si="3"/>
        <v>350364.282</v>
      </c>
      <c r="P7" s="7">
        <f t="shared" si="3"/>
        <v>350364.282</v>
      </c>
      <c r="Q7" s="7">
        <f t="shared" si="3"/>
        <v>350364.282</v>
      </c>
      <c r="R7" s="7">
        <f t="shared" si="3"/>
        <v>350364.282</v>
      </c>
      <c r="S7" s="7">
        <f t="shared" si="3"/>
        <v>350364.282</v>
      </c>
      <c r="T7" s="7">
        <f t="shared" si="3"/>
        <v>350364.282</v>
      </c>
    </row>
    <row r="9">
      <c r="K9" s="93" t="s">
        <v>317</v>
      </c>
      <c r="L9" s="93" t="s">
        <v>318</v>
      </c>
    </row>
    <row r="10">
      <c r="K10" s="93">
        <f t="shared" ref="K10:K11" si="4">8*20</f>
        <v>160</v>
      </c>
      <c r="L10" s="93">
        <f>15*8</f>
        <v>120</v>
      </c>
    </row>
    <row r="11">
      <c r="K11" s="93">
        <f t="shared" si="4"/>
        <v>160</v>
      </c>
      <c r="L11" s="93">
        <v>130.0</v>
      </c>
    </row>
    <row r="12" ht="15.75" customHeight="1">
      <c r="A12" s="5" t="s">
        <v>14</v>
      </c>
      <c r="B12" s="4" t="s">
        <v>15</v>
      </c>
      <c r="C12" s="5" t="s">
        <v>18</v>
      </c>
      <c r="D12" s="4" t="s">
        <v>19</v>
      </c>
      <c r="E12" s="4" t="s">
        <v>20</v>
      </c>
      <c r="F12" s="5" t="s">
        <v>21</v>
      </c>
      <c r="G12" s="7">
        <v>228.58</v>
      </c>
      <c r="H12" s="6">
        <f t="shared" ref="H12:H19" si="5">SUM(I12:T12)</f>
        <v>69945.48</v>
      </c>
      <c r="I12" s="7"/>
      <c r="J12" s="7"/>
      <c r="K12" s="7">
        <f>VLOOKUP($E12,'ORÇAMENTO 2026 v3'!$D:$X,10,0)</f>
        <v>40230.08</v>
      </c>
      <c r="L12" s="7">
        <f t="shared" ref="L12:L19" si="6">G12*$L$11</f>
        <v>29715.4</v>
      </c>
      <c r="M12" s="7"/>
      <c r="N12" s="7"/>
      <c r="O12" s="7"/>
      <c r="P12" s="7"/>
      <c r="Q12" s="7"/>
      <c r="R12" s="7"/>
      <c r="S12" s="7"/>
      <c r="T12" s="7"/>
    </row>
    <row r="13" ht="15.75" customHeight="1">
      <c r="A13" s="5" t="s">
        <v>14</v>
      </c>
      <c r="B13" s="4" t="s">
        <v>15</v>
      </c>
      <c r="C13" s="5" t="s">
        <v>18</v>
      </c>
      <c r="D13" s="4" t="s">
        <v>19</v>
      </c>
      <c r="E13" s="4" t="s">
        <v>22</v>
      </c>
      <c r="F13" s="5" t="s">
        <v>23</v>
      </c>
      <c r="G13" s="7">
        <v>213.87</v>
      </c>
      <c r="H13" s="6">
        <f t="shared" si="5"/>
        <v>65444.22</v>
      </c>
      <c r="I13" s="7"/>
      <c r="J13" s="7"/>
      <c r="K13" s="7">
        <f>VLOOKUP($E13,'ORÇAMENTO 2026 v3'!$D:$X,10,0)</f>
        <v>37641.12</v>
      </c>
      <c r="L13" s="7">
        <f t="shared" si="6"/>
        <v>27803.1</v>
      </c>
      <c r="M13" s="7"/>
      <c r="N13" s="7"/>
      <c r="O13" s="7"/>
      <c r="P13" s="7"/>
      <c r="Q13" s="7"/>
      <c r="R13" s="7"/>
      <c r="S13" s="7"/>
      <c r="T13" s="7"/>
    </row>
    <row r="14" ht="15.75" customHeight="1">
      <c r="A14" s="5" t="s">
        <v>14</v>
      </c>
      <c r="B14" s="4" t="s">
        <v>15</v>
      </c>
      <c r="C14" s="5" t="s">
        <v>18</v>
      </c>
      <c r="D14" s="4" t="s">
        <v>19</v>
      </c>
      <c r="E14" s="5" t="s">
        <v>24</v>
      </c>
      <c r="F14" s="5" t="s">
        <v>25</v>
      </c>
      <c r="G14" s="7">
        <v>213.87</v>
      </c>
      <c r="H14" s="6">
        <f t="shared" si="5"/>
        <v>65444.22</v>
      </c>
      <c r="I14" s="7"/>
      <c r="J14" s="7"/>
      <c r="K14" s="7">
        <f>VLOOKUP($E14,'ORÇAMENTO 2026 v3'!$D:$X,10,0)</f>
        <v>37641.12</v>
      </c>
      <c r="L14" s="7">
        <f t="shared" si="6"/>
        <v>27803.1</v>
      </c>
      <c r="M14" s="7"/>
      <c r="N14" s="7"/>
      <c r="O14" s="7"/>
      <c r="P14" s="7"/>
      <c r="Q14" s="7"/>
      <c r="R14" s="7"/>
      <c r="S14" s="7"/>
      <c r="T14" s="7"/>
    </row>
    <row r="15" ht="15.75" customHeight="1">
      <c r="A15" s="5" t="s">
        <v>14</v>
      </c>
      <c r="B15" s="4" t="s">
        <v>15</v>
      </c>
      <c r="C15" s="5" t="s">
        <v>18</v>
      </c>
      <c r="D15" s="4" t="s">
        <v>19</v>
      </c>
      <c r="E15" s="5" t="s">
        <v>26</v>
      </c>
      <c r="F15" s="5" t="s">
        <v>27</v>
      </c>
      <c r="G15" s="7">
        <v>213.87</v>
      </c>
      <c r="H15" s="6">
        <f t="shared" si="5"/>
        <v>65444.22</v>
      </c>
      <c r="I15" s="7"/>
      <c r="J15" s="7"/>
      <c r="K15" s="7">
        <f>VLOOKUP($E15,'ORÇAMENTO 2026 v3'!$D:$X,10,0)</f>
        <v>37641.12</v>
      </c>
      <c r="L15" s="7">
        <f t="shared" si="6"/>
        <v>27803.1</v>
      </c>
      <c r="M15" s="7"/>
      <c r="N15" s="7"/>
      <c r="O15" s="7"/>
      <c r="P15" s="7"/>
      <c r="Q15" s="7"/>
      <c r="R15" s="7"/>
      <c r="S15" s="7"/>
      <c r="T15" s="7"/>
    </row>
    <row r="16" ht="15.75" customHeight="1">
      <c r="A16" s="5" t="s">
        <v>14</v>
      </c>
      <c r="B16" s="4" t="s">
        <v>15</v>
      </c>
      <c r="C16" s="5" t="s">
        <v>18</v>
      </c>
      <c r="D16" s="5" t="s">
        <v>28</v>
      </c>
      <c r="E16" s="5" t="s">
        <v>29</v>
      </c>
      <c r="F16" s="5" t="s">
        <v>30</v>
      </c>
      <c r="G16" s="7">
        <v>299.76</v>
      </c>
      <c r="H16" s="6">
        <f t="shared" si="5"/>
        <v>91726.56</v>
      </c>
      <c r="I16" s="7"/>
      <c r="J16" s="7"/>
      <c r="K16" s="7">
        <f>VLOOKUP($E16,'ORÇAMENTO 2026 v3'!$D:$X,10,0)</f>
        <v>52757.76</v>
      </c>
      <c r="L16" s="7">
        <f t="shared" si="6"/>
        <v>38968.8</v>
      </c>
      <c r="M16" s="7"/>
      <c r="N16" s="7"/>
      <c r="O16" s="7"/>
      <c r="P16" s="7"/>
      <c r="Q16" s="7"/>
      <c r="R16" s="7"/>
      <c r="S16" s="7"/>
      <c r="T16" s="7"/>
    </row>
    <row r="17" ht="15.75" customHeight="1">
      <c r="A17" s="5" t="s">
        <v>14</v>
      </c>
      <c r="B17" s="4" t="s">
        <v>15</v>
      </c>
      <c r="C17" s="5" t="s">
        <v>18</v>
      </c>
      <c r="D17" s="5" t="s">
        <v>28</v>
      </c>
      <c r="E17" s="5" t="s">
        <v>31</v>
      </c>
      <c r="F17" s="5" t="s">
        <v>32</v>
      </c>
      <c r="G17" s="7">
        <v>289.35</v>
      </c>
      <c r="H17" s="6">
        <f t="shared" si="5"/>
        <v>88541.1</v>
      </c>
      <c r="I17" s="7"/>
      <c r="J17" s="7"/>
      <c r="K17" s="7">
        <f>VLOOKUP($E17,'ORÇAMENTO 2026 v3'!$D:$X,10,0)</f>
        <v>50925.6</v>
      </c>
      <c r="L17" s="7">
        <f t="shared" si="6"/>
        <v>37615.5</v>
      </c>
      <c r="M17" s="7"/>
      <c r="N17" s="7"/>
      <c r="O17" s="7"/>
      <c r="P17" s="7"/>
      <c r="Q17" s="7"/>
      <c r="R17" s="7"/>
      <c r="S17" s="7"/>
      <c r="T17" s="7"/>
    </row>
    <row r="18" ht="15.75" customHeight="1">
      <c r="A18" s="5" t="s">
        <v>14</v>
      </c>
      <c r="B18" s="4" t="s">
        <v>15</v>
      </c>
      <c r="C18" s="5" t="s">
        <v>18</v>
      </c>
      <c r="D18" s="5" t="s">
        <v>28</v>
      </c>
      <c r="E18" s="5" t="s">
        <v>33</v>
      </c>
      <c r="F18" s="5" t="s">
        <v>34</v>
      </c>
      <c r="G18" s="7">
        <v>202.62</v>
      </c>
      <c r="H18" s="6">
        <f t="shared" si="5"/>
        <v>62001.72</v>
      </c>
      <c r="I18" s="7"/>
      <c r="J18" s="7"/>
      <c r="K18" s="7">
        <f>VLOOKUP($E18,'ORÇAMENTO 2026 v3'!$D:$X,10,0)</f>
        <v>35661.12</v>
      </c>
      <c r="L18" s="7">
        <f t="shared" si="6"/>
        <v>26340.6</v>
      </c>
      <c r="M18" s="7"/>
      <c r="N18" s="7"/>
      <c r="O18" s="7"/>
      <c r="P18" s="7"/>
      <c r="Q18" s="7"/>
      <c r="R18" s="7"/>
      <c r="S18" s="7"/>
      <c r="T18" s="7"/>
    </row>
    <row r="19" ht="15.75" customHeight="1">
      <c r="A19" s="5" t="s">
        <v>14</v>
      </c>
      <c r="B19" s="4" t="s">
        <v>15</v>
      </c>
      <c r="C19" s="5" t="s">
        <v>18</v>
      </c>
      <c r="D19" s="5" t="s">
        <v>28</v>
      </c>
      <c r="E19" s="4" t="s">
        <v>35</v>
      </c>
      <c r="F19" s="5" t="s">
        <v>36</v>
      </c>
      <c r="G19" s="7">
        <v>193.74</v>
      </c>
      <c r="H19" s="6">
        <f t="shared" si="5"/>
        <v>59284.44</v>
      </c>
      <c r="I19" s="7"/>
      <c r="J19" s="7"/>
      <c r="K19" s="7">
        <f>VLOOKUP($E19,'ORÇAMENTO 2026 v3'!$D:$X,10,0)</f>
        <v>34098.24</v>
      </c>
      <c r="L19" s="7">
        <f t="shared" si="6"/>
        <v>25186.2</v>
      </c>
      <c r="M19" s="7"/>
      <c r="N19" s="7"/>
      <c r="O19" s="7"/>
      <c r="P19" s="7"/>
      <c r="Q19" s="7"/>
      <c r="R19" s="7"/>
      <c r="S19" s="7"/>
      <c r="T19" s="7"/>
    </row>
    <row r="21" ht="15.75" customHeight="1"/>
    <row r="22" ht="15.75" customHeight="1">
      <c r="A22" s="4" t="s">
        <v>14</v>
      </c>
      <c r="B22" s="4" t="s">
        <v>15</v>
      </c>
      <c r="C22" s="8" t="s">
        <v>319</v>
      </c>
      <c r="H22" s="6">
        <v>2400000.0</v>
      </c>
      <c r="I22" s="92"/>
      <c r="J22" s="92"/>
      <c r="K22" s="92"/>
      <c r="L22" s="92"/>
      <c r="M22" s="7">
        <f t="shared" ref="M22:T22" si="7">$H$22/8</f>
        <v>300000</v>
      </c>
      <c r="N22" s="7">
        <f t="shared" si="7"/>
        <v>300000</v>
      </c>
      <c r="O22" s="7">
        <f t="shared" si="7"/>
        <v>300000</v>
      </c>
      <c r="P22" s="7">
        <f t="shared" si="7"/>
        <v>300000</v>
      </c>
      <c r="Q22" s="7">
        <f t="shared" si="7"/>
        <v>300000</v>
      </c>
      <c r="R22" s="7">
        <f t="shared" si="7"/>
        <v>300000</v>
      </c>
      <c r="S22" s="7">
        <f t="shared" si="7"/>
        <v>300000</v>
      </c>
      <c r="T22" s="7">
        <f t="shared" si="7"/>
        <v>300000</v>
      </c>
    </row>
    <row r="23" ht="15.75" customHeight="1"/>
    <row r="24" ht="15.75" customHeight="1">
      <c r="A24" s="4" t="s">
        <v>14</v>
      </c>
      <c r="B24" s="4" t="s">
        <v>15</v>
      </c>
      <c r="C24" s="8" t="s">
        <v>320</v>
      </c>
      <c r="H24" s="6">
        <f>SUM(I24:T24)</f>
        <v>535810.8602</v>
      </c>
      <c r="I24" s="92">
        <f t="shared" ref="I24:J24" si="8">I7-I22</f>
        <v>0</v>
      </c>
      <c r="J24" s="92">
        <f t="shared" si="8"/>
        <v>0</v>
      </c>
      <c r="K24" s="92">
        <f t="shared" ref="K24:T24" si="9">K7-SUM(K12:K19)-K22</f>
        <v>23768.12202</v>
      </c>
      <c r="L24" s="92">
        <f t="shared" si="9"/>
        <v>109128.482</v>
      </c>
      <c r="M24" s="92">
        <f t="shared" si="9"/>
        <v>50364.28202</v>
      </c>
      <c r="N24" s="92">
        <f t="shared" si="9"/>
        <v>50364.28202</v>
      </c>
      <c r="O24" s="92">
        <f t="shared" si="9"/>
        <v>50364.28202</v>
      </c>
      <c r="P24" s="92">
        <f t="shared" si="9"/>
        <v>50364.28202</v>
      </c>
      <c r="Q24" s="92">
        <f t="shared" si="9"/>
        <v>50364.28202</v>
      </c>
      <c r="R24" s="92">
        <f t="shared" si="9"/>
        <v>50364.28202</v>
      </c>
      <c r="S24" s="92">
        <f t="shared" si="9"/>
        <v>50364.28202</v>
      </c>
      <c r="T24" s="92">
        <f t="shared" si="9"/>
        <v>50364.28202</v>
      </c>
    </row>
    <row r="25" ht="15.75" customHeight="1">
      <c r="A25" s="4" t="s">
        <v>14</v>
      </c>
      <c r="B25" s="4" t="s">
        <v>15</v>
      </c>
      <c r="C25" s="8" t="s">
        <v>316</v>
      </c>
      <c r="H25" s="6">
        <f>H24</f>
        <v>535810.8602</v>
      </c>
      <c r="I25" s="92"/>
      <c r="J25" s="92"/>
      <c r="K25" s="92"/>
      <c r="L25" s="92"/>
      <c r="M25" s="92">
        <f t="shared" ref="M25:S25" si="10">$H$25/7</f>
        <v>76544.4086</v>
      </c>
      <c r="N25" s="92">
        <f t="shared" si="10"/>
        <v>76544.4086</v>
      </c>
      <c r="O25" s="92">
        <f t="shared" si="10"/>
        <v>76544.4086</v>
      </c>
      <c r="P25" s="92">
        <f t="shared" si="10"/>
        <v>76544.4086</v>
      </c>
      <c r="Q25" s="92">
        <f t="shared" si="10"/>
        <v>76544.4086</v>
      </c>
      <c r="R25" s="92">
        <f t="shared" si="10"/>
        <v>76544.4086</v>
      </c>
      <c r="S25" s="92">
        <f t="shared" si="10"/>
        <v>76544.4086</v>
      </c>
      <c r="T25" s="92">
        <v>0.0</v>
      </c>
    </row>
    <row r="26" ht="15.75" customHeight="1"/>
    <row r="27" ht="15.75" customHeight="1">
      <c r="A27" s="5" t="s">
        <v>14</v>
      </c>
      <c r="B27" s="4" t="s">
        <v>15</v>
      </c>
      <c r="C27" s="5" t="s">
        <v>321</v>
      </c>
      <c r="D27" s="4" t="s">
        <v>19</v>
      </c>
      <c r="E27" s="5" t="s">
        <v>20</v>
      </c>
      <c r="F27" s="5" t="s">
        <v>21</v>
      </c>
      <c r="G27" s="7">
        <v>228.58</v>
      </c>
      <c r="H27" s="6">
        <f t="shared" ref="H27:H28" si="12">SUM(I27:T27)</f>
        <v>281610.56</v>
      </c>
      <c r="M27" s="7">
        <f t="shared" ref="M27:S27" si="11">$G27*176</f>
        <v>40230.08</v>
      </c>
      <c r="N27" s="7">
        <f t="shared" si="11"/>
        <v>40230.08</v>
      </c>
      <c r="O27" s="7">
        <f t="shared" si="11"/>
        <v>40230.08</v>
      </c>
      <c r="P27" s="7">
        <f t="shared" si="11"/>
        <v>40230.08</v>
      </c>
      <c r="Q27" s="7">
        <f t="shared" si="11"/>
        <v>40230.08</v>
      </c>
      <c r="R27" s="7">
        <f t="shared" si="11"/>
        <v>40230.08</v>
      </c>
      <c r="S27" s="7">
        <f t="shared" si="11"/>
        <v>40230.08</v>
      </c>
      <c r="T27" s="94"/>
    </row>
    <row r="28" ht="15.75" customHeight="1">
      <c r="A28" s="5" t="s">
        <v>14</v>
      </c>
      <c r="B28" s="4" t="s">
        <v>15</v>
      </c>
      <c r="C28" s="5" t="s">
        <v>321</v>
      </c>
      <c r="D28" s="4" t="s">
        <v>19</v>
      </c>
      <c r="E28" s="5" t="s">
        <v>24</v>
      </c>
      <c r="F28" s="5" t="s">
        <v>25</v>
      </c>
      <c r="G28" s="7">
        <v>213.87</v>
      </c>
      <c r="H28" s="6">
        <f t="shared" si="12"/>
        <v>263487.84</v>
      </c>
      <c r="M28" s="7">
        <f t="shared" ref="M28:S28" si="13">$G28*176</f>
        <v>37641.12</v>
      </c>
      <c r="N28" s="7">
        <f t="shared" si="13"/>
        <v>37641.12</v>
      </c>
      <c r="O28" s="7">
        <f t="shared" si="13"/>
        <v>37641.12</v>
      </c>
      <c r="P28" s="7">
        <f t="shared" si="13"/>
        <v>37641.12</v>
      </c>
      <c r="Q28" s="7">
        <f t="shared" si="13"/>
        <v>37641.12</v>
      </c>
      <c r="R28" s="7">
        <f t="shared" si="13"/>
        <v>37641.12</v>
      </c>
      <c r="S28" s="7">
        <f t="shared" si="13"/>
        <v>37641.12</v>
      </c>
      <c r="T28" s="94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2.57"/>
    <col customWidth="1" hidden="1" min="2" max="2" width="42.86"/>
    <col customWidth="1" hidden="1" min="3" max="3" width="31.14"/>
    <col customWidth="1" min="4" max="4" width="14.0"/>
    <col customWidth="1" min="5" max="5" width="29.0"/>
    <col customWidth="1" min="6" max="6" width="15.86"/>
    <col customWidth="1" min="7" max="7" width="18.29"/>
    <col customWidth="1" min="8" max="8" width="25.71"/>
    <col customWidth="1" min="9" max="9" width="11.43"/>
    <col customWidth="1" min="10" max="22" width="15.86"/>
    <col customWidth="1" min="23" max="23" width="28.43"/>
    <col customWidth="1" min="24" max="24" width="22.86"/>
  </cols>
  <sheetData>
    <row r="1" ht="12.75" customHeight="1">
      <c r="A1" s="51" t="s">
        <v>222</v>
      </c>
      <c r="B1" s="51" t="s">
        <v>223</v>
      </c>
      <c r="C1" s="51" t="s">
        <v>224</v>
      </c>
      <c r="D1" s="52" t="s">
        <v>4</v>
      </c>
      <c r="E1" s="52" t="s">
        <v>225</v>
      </c>
      <c r="F1" s="52" t="s">
        <v>226</v>
      </c>
      <c r="G1" s="54" t="s">
        <v>231</v>
      </c>
      <c r="H1" s="52" t="s">
        <v>227</v>
      </c>
      <c r="I1" s="53" t="s">
        <v>228</v>
      </c>
      <c r="J1" s="54" t="s">
        <v>229</v>
      </c>
      <c r="K1" s="95">
        <v>46023.0</v>
      </c>
      <c r="L1" s="95">
        <v>46054.0</v>
      </c>
      <c r="M1" s="95">
        <v>46082.0</v>
      </c>
      <c r="N1" s="95">
        <v>46113.0</v>
      </c>
      <c r="O1" s="95">
        <v>46143.0</v>
      </c>
      <c r="P1" s="95">
        <v>46174.0</v>
      </c>
      <c r="Q1" s="95">
        <v>46204.0</v>
      </c>
      <c r="R1" s="95">
        <v>46235.0</v>
      </c>
      <c r="S1" s="95">
        <v>46266.0</v>
      </c>
      <c r="T1" s="95">
        <v>46296.0</v>
      </c>
      <c r="U1" s="95">
        <v>46327.0</v>
      </c>
      <c r="V1" s="95">
        <v>46357.0</v>
      </c>
      <c r="W1" s="54" t="s">
        <v>230</v>
      </c>
      <c r="X1" s="54" t="s">
        <v>233</v>
      </c>
    </row>
    <row r="2" ht="12.75" customHeight="1">
      <c r="A2" s="4"/>
      <c r="B2" s="4"/>
      <c r="C2" s="4"/>
      <c r="D2" s="4"/>
      <c r="E2" s="4"/>
      <c r="F2" s="4"/>
      <c r="G2" s="72"/>
      <c r="H2" s="4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</row>
    <row r="3" ht="12.75" customHeight="1">
      <c r="A3" s="55" t="s">
        <v>30</v>
      </c>
      <c r="B3" s="56" t="s">
        <v>186</v>
      </c>
      <c r="C3" s="56" t="s">
        <v>187</v>
      </c>
      <c r="D3" s="57" t="s">
        <v>29</v>
      </c>
      <c r="E3" s="57" t="s">
        <v>144</v>
      </c>
      <c r="F3" s="57" t="s">
        <v>28</v>
      </c>
      <c r="G3" s="58" t="s">
        <v>14</v>
      </c>
      <c r="H3" s="57" t="s">
        <v>91</v>
      </c>
      <c r="I3" s="58">
        <v>299.76</v>
      </c>
      <c r="J3" s="58">
        <f t="shared" ref="J3:J10" si="2">I3*176</f>
        <v>52757.76</v>
      </c>
      <c r="K3" s="58">
        <f t="shared" ref="K3:V3" si="1">$J3</f>
        <v>52757.76</v>
      </c>
      <c r="L3" s="58">
        <f t="shared" si="1"/>
        <v>52757.76</v>
      </c>
      <c r="M3" s="58">
        <f t="shared" si="1"/>
        <v>52757.76</v>
      </c>
      <c r="N3" s="58">
        <f t="shared" si="1"/>
        <v>52757.76</v>
      </c>
      <c r="O3" s="58">
        <f t="shared" si="1"/>
        <v>52757.76</v>
      </c>
      <c r="P3" s="58">
        <f t="shared" si="1"/>
        <v>52757.76</v>
      </c>
      <c r="Q3" s="58">
        <f t="shared" si="1"/>
        <v>52757.76</v>
      </c>
      <c r="R3" s="58">
        <f t="shared" si="1"/>
        <v>52757.76</v>
      </c>
      <c r="S3" s="58">
        <f t="shared" si="1"/>
        <v>52757.76</v>
      </c>
      <c r="T3" s="58">
        <f t="shared" si="1"/>
        <v>52757.76</v>
      </c>
      <c r="U3" s="58">
        <f t="shared" si="1"/>
        <v>52757.76</v>
      </c>
      <c r="V3" s="58">
        <f t="shared" si="1"/>
        <v>52757.76</v>
      </c>
      <c r="W3" s="58">
        <f t="shared" ref="W3:W10" si="4">SUM(K3:V3)</f>
        <v>633093.12</v>
      </c>
      <c r="X3" s="59">
        <f t="shared" ref="X3:X10" si="5">J3*11</f>
        <v>580335.36</v>
      </c>
    </row>
    <row r="4" ht="12.75" customHeight="1">
      <c r="A4" s="60" t="s">
        <v>32</v>
      </c>
      <c r="B4" s="61" t="s">
        <v>192</v>
      </c>
      <c r="C4" s="61" t="s">
        <v>193</v>
      </c>
      <c r="D4" s="62" t="s">
        <v>31</v>
      </c>
      <c r="E4" s="62" t="s">
        <v>114</v>
      </c>
      <c r="F4" s="62" t="s">
        <v>28</v>
      </c>
      <c r="G4" s="63" t="s">
        <v>14</v>
      </c>
      <c r="H4" s="62" t="s">
        <v>91</v>
      </c>
      <c r="I4" s="63">
        <v>289.35</v>
      </c>
      <c r="J4" s="63">
        <f t="shared" si="2"/>
        <v>50925.6</v>
      </c>
      <c r="K4" s="63">
        <f t="shared" ref="K4:V4" si="3">$J4</f>
        <v>50925.6</v>
      </c>
      <c r="L4" s="63">
        <f t="shared" si="3"/>
        <v>50925.6</v>
      </c>
      <c r="M4" s="63">
        <f t="shared" si="3"/>
        <v>50925.6</v>
      </c>
      <c r="N4" s="63">
        <f t="shared" si="3"/>
        <v>50925.6</v>
      </c>
      <c r="O4" s="63">
        <f t="shared" si="3"/>
        <v>50925.6</v>
      </c>
      <c r="P4" s="63">
        <f t="shared" si="3"/>
        <v>50925.6</v>
      </c>
      <c r="Q4" s="63">
        <f t="shared" si="3"/>
        <v>50925.6</v>
      </c>
      <c r="R4" s="63">
        <f t="shared" si="3"/>
        <v>50925.6</v>
      </c>
      <c r="S4" s="63">
        <f t="shared" si="3"/>
        <v>50925.6</v>
      </c>
      <c r="T4" s="63">
        <f t="shared" si="3"/>
        <v>50925.6</v>
      </c>
      <c r="U4" s="63">
        <f t="shared" si="3"/>
        <v>50925.6</v>
      </c>
      <c r="V4" s="63">
        <f t="shared" si="3"/>
        <v>50925.6</v>
      </c>
      <c r="W4" s="63">
        <f t="shared" si="4"/>
        <v>611107.2</v>
      </c>
      <c r="X4" s="64">
        <f t="shared" si="5"/>
        <v>560181.6</v>
      </c>
    </row>
    <row r="5" ht="12.75" customHeight="1">
      <c r="A5" s="60" t="s">
        <v>21</v>
      </c>
      <c r="B5" s="61" t="s">
        <v>178</v>
      </c>
      <c r="C5" s="61" t="s">
        <v>179</v>
      </c>
      <c r="D5" s="62" t="s">
        <v>20</v>
      </c>
      <c r="E5" s="62" t="s">
        <v>119</v>
      </c>
      <c r="F5" s="62" t="s">
        <v>19</v>
      </c>
      <c r="G5" s="63" t="s">
        <v>14</v>
      </c>
      <c r="H5" s="62" t="s">
        <v>91</v>
      </c>
      <c r="I5" s="63">
        <v>228.58</v>
      </c>
      <c r="J5" s="63">
        <f t="shared" si="2"/>
        <v>40230.08</v>
      </c>
      <c r="K5" s="63">
        <f t="shared" ref="K5:V5" si="6">$J5</f>
        <v>40230.08</v>
      </c>
      <c r="L5" s="63">
        <f t="shared" si="6"/>
        <v>40230.08</v>
      </c>
      <c r="M5" s="63">
        <f t="shared" si="6"/>
        <v>40230.08</v>
      </c>
      <c r="N5" s="63">
        <f t="shared" si="6"/>
        <v>40230.08</v>
      </c>
      <c r="O5" s="63">
        <f t="shared" si="6"/>
        <v>40230.08</v>
      </c>
      <c r="P5" s="63">
        <f t="shared" si="6"/>
        <v>40230.08</v>
      </c>
      <c r="Q5" s="63">
        <f t="shared" si="6"/>
        <v>40230.08</v>
      </c>
      <c r="R5" s="63">
        <f t="shared" si="6"/>
        <v>40230.08</v>
      </c>
      <c r="S5" s="63">
        <f t="shared" si="6"/>
        <v>40230.08</v>
      </c>
      <c r="T5" s="63">
        <f t="shared" si="6"/>
        <v>40230.08</v>
      </c>
      <c r="U5" s="63">
        <f t="shared" si="6"/>
        <v>40230.08</v>
      </c>
      <c r="V5" s="63">
        <f t="shared" si="6"/>
        <v>40230.08</v>
      </c>
      <c r="W5" s="63">
        <f t="shared" si="4"/>
        <v>482760.96</v>
      </c>
      <c r="X5" s="64">
        <f t="shared" si="5"/>
        <v>442530.88</v>
      </c>
    </row>
    <row r="6" ht="12.75" customHeight="1">
      <c r="A6" s="60" t="s">
        <v>23</v>
      </c>
      <c r="B6" s="61" t="s">
        <v>180</v>
      </c>
      <c r="C6" s="61" t="s">
        <v>181</v>
      </c>
      <c r="D6" s="62" t="s">
        <v>22</v>
      </c>
      <c r="E6" s="62" t="s">
        <v>119</v>
      </c>
      <c r="F6" s="62" t="s">
        <v>19</v>
      </c>
      <c r="G6" s="63" t="s">
        <v>14</v>
      </c>
      <c r="H6" s="62" t="s">
        <v>91</v>
      </c>
      <c r="I6" s="63">
        <v>213.87</v>
      </c>
      <c r="J6" s="63">
        <f t="shared" si="2"/>
        <v>37641.12</v>
      </c>
      <c r="K6" s="63">
        <f t="shared" ref="K6:V6" si="7">$J6</f>
        <v>37641.12</v>
      </c>
      <c r="L6" s="63">
        <f t="shared" si="7"/>
        <v>37641.12</v>
      </c>
      <c r="M6" s="63">
        <f t="shared" si="7"/>
        <v>37641.12</v>
      </c>
      <c r="N6" s="63">
        <f t="shared" si="7"/>
        <v>37641.12</v>
      </c>
      <c r="O6" s="63">
        <f t="shared" si="7"/>
        <v>37641.12</v>
      </c>
      <c r="P6" s="63">
        <f t="shared" si="7"/>
        <v>37641.12</v>
      </c>
      <c r="Q6" s="63">
        <f t="shared" si="7"/>
        <v>37641.12</v>
      </c>
      <c r="R6" s="63">
        <f t="shared" si="7"/>
        <v>37641.12</v>
      </c>
      <c r="S6" s="63">
        <f t="shared" si="7"/>
        <v>37641.12</v>
      </c>
      <c r="T6" s="63">
        <f t="shared" si="7"/>
        <v>37641.12</v>
      </c>
      <c r="U6" s="63">
        <f t="shared" si="7"/>
        <v>37641.12</v>
      </c>
      <c r="V6" s="63">
        <f t="shared" si="7"/>
        <v>37641.12</v>
      </c>
      <c r="W6" s="63">
        <f t="shared" si="4"/>
        <v>451693.44</v>
      </c>
      <c r="X6" s="64">
        <f t="shared" si="5"/>
        <v>414052.32</v>
      </c>
    </row>
    <row r="7" ht="12.75" customHeight="1">
      <c r="A7" s="60" t="s">
        <v>25</v>
      </c>
      <c r="B7" s="61" t="s">
        <v>182</v>
      </c>
      <c r="C7" s="61" t="s">
        <v>183</v>
      </c>
      <c r="D7" s="62" t="s">
        <v>24</v>
      </c>
      <c r="E7" s="62" t="s">
        <v>119</v>
      </c>
      <c r="F7" s="62" t="s">
        <v>19</v>
      </c>
      <c r="G7" s="63" t="s">
        <v>14</v>
      </c>
      <c r="H7" s="62" t="s">
        <v>91</v>
      </c>
      <c r="I7" s="63">
        <v>213.87</v>
      </c>
      <c r="J7" s="63">
        <f t="shared" si="2"/>
        <v>37641.12</v>
      </c>
      <c r="K7" s="63">
        <f t="shared" ref="K7:V7" si="8">$J7</f>
        <v>37641.12</v>
      </c>
      <c r="L7" s="63">
        <f t="shared" si="8"/>
        <v>37641.12</v>
      </c>
      <c r="M7" s="63">
        <f t="shared" si="8"/>
        <v>37641.12</v>
      </c>
      <c r="N7" s="63">
        <f t="shared" si="8"/>
        <v>37641.12</v>
      </c>
      <c r="O7" s="63">
        <f t="shared" si="8"/>
        <v>37641.12</v>
      </c>
      <c r="P7" s="63">
        <f t="shared" si="8"/>
        <v>37641.12</v>
      </c>
      <c r="Q7" s="63">
        <f t="shared" si="8"/>
        <v>37641.12</v>
      </c>
      <c r="R7" s="63">
        <f t="shared" si="8"/>
        <v>37641.12</v>
      </c>
      <c r="S7" s="63">
        <f t="shared" si="8"/>
        <v>37641.12</v>
      </c>
      <c r="T7" s="63">
        <f t="shared" si="8"/>
        <v>37641.12</v>
      </c>
      <c r="U7" s="63">
        <f t="shared" si="8"/>
        <v>37641.12</v>
      </c>
      <c r="V7" s="63">
        <f t="shared" si="8"/>
        <v>37641.12</v>
      </c>
      <c r="W7" s="63">
        <f t="shared" si="4"/>
        <v>451693.44</v>
      </c>
      <c r="X7" s="64">
        <f t="shared" si="5"/>
        <v>414052.32</v>
      </c>
    </row>
    <row r="8" ht="12.75" customHeight="1">
      <c r="A8" s="60" t="s">
        <v>34</v>
      </c>
      <c r="B8" s="61" t="s">
        <v>194</v>
      </c>
      <c r="C8" s="61" t="s">
        <v>195</v>
      </c>
      <c r="D8" s="62" t="s">
        <v>33</v>
      </c>
      <c r="E8" s="62" t="s">
        <v>119</v>
      </c>
      <c r="F8" s="62" t="s">
        <v>28</v>
      </c>
      <c r="G8" s="63" t="s">
        <v>14</v>
      </c>
      <c r="H8" s="62" t="s">
        <v>91</v>
      </c>
      <c r="I8" s="63">
        <v>202.62</v>
      </c>
      <c r="J8" s="63">
        <f t="shared" si="2"/>
        <v>35661.12</v>
      </c>
      <c r="K8" s="63">
        <f t="shared" ref="K8:V8" si="9">$J8</f>
        <v>35661.12</v>
      </c>
      <c r="L8" s="63">
        <f t="shared" si="9"/>
        <v>35661.12</v>
      </c>
      <c r="M8" s="63">
        <f t="shared" si="9"/>
        <v>35661.12</v>
      </c>
      <c r="N8" s="63">
        <f t="shared" si="9"/>
        <v>35661.12</v>
      </c>
      <c r="O8" s="63">
        <f t="shared" si="9"/>
        <v>35661.12</v>
      </c>
      <c r="P8" s="63">
        <f t="shared" si="9"/>
        <v>35661.12</v>
      </c>
      <c r="Q8" s="63">
        <f t="shared" si="9"/>
        <v>35661.12</v>
      </c>
      <c r="R8" s="63">
        <f t="shared" si="9"/>
        <v>35661.12</v>
      </c>
      <c r="S8" s="63">
        <f t="shared" si="9"/>
        <v>35661.12</v>
      </c>
      <c r="T8" s="63">
        <f t="shared" si="9"/>
        <v>35661.12</v>
      </c>
      <c r="U8" s="63">
        <f t="shared" si="9"/>
        <v>35661.12</v>
      </c>
      <c r="V8" s="63">
        <f t="shared" si="9"/>
        <v>35661.12</v>
      </c>
      <c r="W8" s="63">
        <f t="shared" si="4"/>
        <v>427933.44</v>
      </c>
      <c r="X8" s="64">
        <f t="shared" si="5"/>
        <v>392272.32</v>
      </c>
    </row>
    <row r="9" ht="12.75" customHeight="1">
      <c r="A9" s="60" t="s">
        <v>27</v>
      </c>
      <c r="B9" s="61" t="s">
        <v>203</v>
      </c>
      <c r="C9" s="61" t="s">
        <v>204</v>
      </c>
      <c r="D9" s="62" t="s">
        <v>26</v>
      </c>
      <c r="E9" s="62" t="s">
        <v>119</v>
      </c>
      <c r="F9" s="62" t="s">
        <v>19</v>
      </c>
      <c r="G9" s="63" t="s">
        <v>14</v>
      </c>
      <c r="H9" s="62" t="s">
        <v>91</v>
      </c>
      <c r="I9" s="63">
        <v>213.87</v>
      </c>
      <c r="J9" s="63">
        <f t="shared" si="2"/>
        <v>37641.12</v>
      </c>
      <c r="K9" s="63">
        <f t="shared" ref="K9:V9" si="10">$J9</f>
        <v>37641.12</v>
      </c>
      <c r="L9" s="63">
        <f t="shared" si="10"/>
        <v>37641.12</v>
      </c>
      <c r="M9" s="63">
        <f t="shared" si="10"/>
        <v>37641.12</v>
      </c>
      <c r="N9" s="63">
        <f t="shared" si="10"/>
        <v>37641.12</v>
      </c>
      <c r="O9" s="63">
        <f t="shared" si="10"/>
        <v>37641.12</v>
      </c>
      <c r="P9" s="63">
        <f t="shared" si="10"/>
        <v>37641.12</v>
      </c>
      <c r="Q9" s="63">
        <f t="shared" si="10"/>
        <v>37641.12</v>
      </c>
      <c r="R9" s="63">
        <f t="shared" si="10"/>
        <v>37641.12</v>
      </c>
      <c r="S9" s="63">
        <f t="shared" si="10"/>
        <v>37641.12</v>
      </c>
      <c r="T9" s="63">
        <f t="shared" si="10"/>
        <v>37641.12</v>
      </c>
      <c r="U9" s="63">
        <f t="shared" si="10"/>
        <v>37641.12</v>
      </c>
      <c r="V9" s="63">
        <f t="shared" si="10"/>
        <v>37641.12</v>
      </c>
      <c r="W9" s="63">
        <f t="shared" si="4"/>
        <v>451693.44</v>
      </c>
      <c r="X9" s="64">
        <f t="shared" si="5"/>
        <v>414052.32</v>
      </c>
    </row>
    <row r="10" ht="12.75" customHeight="1">
      <c r="A10" s="60" t="s">
        <v>36</v>
      </c>
      <c r="B10" s="61" t="s">
        <v>174</v>
      </c>
      <c r="C10" s="61" t="s">
        <v>175</v>
      </c>
      <c r="D10" s="62" t="s">
        <v>35</v>
      </c>
      <c r="E10" s="62" t="s">
        <v>156</v>
      </c>
      <c r="F10" s="62" t="s">
        <v>28</v>
      </c>
      <c r="G10" s="63" t="s">
        <v>14</v>
      </c>
      <c r="H10" s="62" t="s">
        <v>91</v>
      </c>
      <c r="I10" s="63">
        <v>193.74</v>
      </c>
      <c r="J10" s="63">
        <f t="shared" si="2"/>
        <v>34098.24</v>
      </c>
      <c r="K10" s="63">
        <f t="shared" ref="K10:V10" si="11">$J10</f>
        <v>34098.24</v>
      </c>
      <c r="L10" s="63">
        <f t="shared" si="11"/>
        <v>34098.24</v>
      </c>
      <c r="M10" s="63">
        <f t="shared" si="11"/>
        <v>34098.24</v>
      </c>
      <c r="N10" s="63">
        <f t="shared" si="11"/>
        <v>34098.24</v>
      </c>
      <c r="O10" s="63">
        <f t="shared" si="11"/>
        <v>34098.24</v>
      </c>
      <c r="P10" s="63">
        <f t="shared" si="11"/>
        <v>34098.24</v>
      </c>
      <c r="Q10" s="63">
        <f t="shared" si="11"/>
        <v>34098.24</v>
      </c>
      <c r="R10" s="63">
        <f t="shared" si="11"/>
        <v>34098.24</v>
      </c>
      <c r="S10" s="63">
        <f t="shared" si="11"/>
        <v>34098.24</v>
      </c>
      <c r="T10" s="63">
        <f t="shared" si="11"/>
        <v>34098.24</v>
      </c>
      <c r="U10" s="63">
        <f t="shared" si="11"/>
        <v>34098.24</v>
      </c>
      <c r="V10" s="63">
        <f t="shared" si="11"/>
        <v>34098.24</v>
      </c>
      <c r="W10" s="63">
        <f t="shared" si="4"/>
        <v>409178.88</v>
      </c>
      <c r="X10" s="64">
        <f t="shared" si="5"/>
        <v>375080.64</v>
      </c>
    </row>
    <row r="11" ht="12.75" customHeight="1">
      <c r="A11" s="77"/>
      <c r="B11" s="78"/>
      <c r="C11" s="78"/>
      <c r="D11" s="78"/>
      <c r="E11" s="78"/>
      <c r="F11" s="78"/>
      <c r="G11" s="79"/>
      <c r="H11" s="78"/>
      <c r="I11" s="79"/>
      <c r="J11" s="96">
        <f t="shared" ref="J11:X11" si="12">SUM(J3:J10)</f>
        <v>326596.16</v>
      </c>
      <c r="K11" s="96">
        <f t="shared" si="12"/>
        <v>326596.16</v>
      </c>
      <c r="L11" s="96">
        <f t="shared" si="12"/>
        <v>326596.16</v>
      </c>
      <c r="M11" s="96">
        <f t="shared" si="12"/>
        <v>326596.16</v>
      </c>
      <c r="N11" s="96">
        <f t="shared" si="12"/>
        <v>326596.16</v>
      </c>
      <c r="O11" s="96">
        <f t="shared" si="12"/>
        <v>326596.16</v>
      </c>
      <c r="P11" s="96">
        <f t="shared" si="12"/>
        <v>326596.16</v>
      </c>
      <c r="Q11" s="96">
        <f t="shared" si="12"/>
        <v>326596.16</v>
      </c>
      <c r="R11" s="96">
        <f t="shared" si="12"/>
        <v>326596.16</v>
      </c>
      <c r="S11" s="96">
        <f t="shared" si="12"/>
        <v>326596.16</v>
      </c>
      <c r="T11" s="96">
        <f t="shared" si="12"/>
        <v>326596.16</v>
      </c>
      <c r="U11" s="96">
        <f t="shared" si="12"/>
        <v>326596.16</v>
      </c>
      <c r="V11" s="96">
        <f t="shared" si="12"/>
        <v>326596.16</v>
      </c>
      <c r="W11" s="96">
        <f t="shared" si="12"/>
        <v>3919153.92</v>
      </c>
      <c r="X11" s="97">
        <f t="shared" si="12"/>
        <v>3592557.76</v>
      </c>
    </row>
    <row r="12" ht="12.75" customHeight="1">
      <c r="A12" s="4"/>
      <c r="B12" s="4"/>
      <c r="C12" s="4"/>
      <c r="D12" s="4"/>
      <c r="E12" s="4"/>
      <c r="F12" s="4"/>
      <c r="G12" s="72"/>
      <c r="H12" s="4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</row>
    <row r="13" ht="12.75" customHeight="1">
      <c r="A13" s="4"/>
      <c r="B13" s="4"/>
      <c r="C13" s="4"/>
      <c r="D13" s="4"/>
      <c r="E13" s="4"/>
      <c r="F13" s="4"/>
      <c r="G13" s="72"/>
      <c r="H13" s="4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</row>
    <row r="14" ht="12.75" customHeight="1">
      <c r="A14" s="55" t="s">
        <v>38</v>
      </c>
      <c r="B14" s="56" t="s">
        <v>205</v>
      </c>
      <c r="C14" s="56" t="s">
        <v>206</v>
      </c>
      <c r="D14" s="57" t="s">
        <v>37</v>
      </c>
      <c r="E14" s="57" t="s">
        <v>120</v>
      </c>
      <c r="F14" s="57" t="s">
        <v>19</v>
      </c>
      <c r="G14" s="58" t="s">
        <v>10</v>
      </c>
      <c r="H14" s="57" t="s">
        <v>207</v>
      </c>
      <c r="I14" s="58">
        <v>213.87</v>
      </c>
      <c r="J14" s="58">
        <f t="shared" ref="J14:J16" si="14">I14*176</f>
        <v>37641.12</v>
      </c>
      <c r="K14" s="58">
        <f t="shared" ref="K14:V14" si="13">$J14</f>
        <v>37641.12</v>
      </c>
      <c r="L14" s="58">
        <f t="shared" si="13"/>
        <v>37641.12</v>
      </c>
      <c r="M14" s="58">
        <f t="shared" si="13"/>
        <v>37641.12</v>
      </c>
      <c r="N14" s="58">
        <f t="shared" si="13"/>
        <v>37641.12</v>
      </c>
      <c r="O14" s="58">
        <f t="shared" si="13"/>
        <v>37641.12</v>
      </c>
      <c r="P14" s="58">
        <f t="shared" si="13"/>
        <v>37641.12</v>
      </c>
      <c r="Q14" s="58">
        <f t="shared" si="13"/>
        <v>37641.12</v>
      </c>
      <c r="R14" s="58">
        <f t="shared" si="13"/>
        <v>37641.12</v>
      </c>
      <c r="S14" s="58">
        <f t="shared" si="13"/>
        <v>37641.12</v>
      </c>
      <c r="T14" s="58">
        <f t="shared" si="13"/>
        <v>37641.12</v>
      </c>
      <c r="U14" s="58">
        <f t="shared" si="13"/>
        <v>37641.12</v>
      </c>
      <c r="V14" s="58">
        <f t="shared" si="13"/>
        <v>37641.12</v>
      </c>
      <c r="W14" s="58">
        <f t="shared" ref="W14:W17" si="16">SUM(K14:V14)</f>
        <v>451693.44</v>
      </c>
      <c r="X14" s="59">
        <f t="shared" ref="X14:X17" si="17">J14*11</f>
        <v>414052.32</v>
      </c>
    </row>
    <row r="15" ht="12.75" customHeight="1">
      <c r="A15" s="60" t="s">
        <v>40</v>
      </c>
      <c r="B15" s="61" t="s">
        <v>208</v>
      </c>
      <c r="C15" s="61" t="s">
        <v>209</v>
      </c>
      <c r="D15" s="62" t="s">
        <v>39</v>
      </c>
      <c r="E15" s="62" t="s">
        <v>111</v>
      </c>
      <c r="F15" s="62" t="s">
        <v>19</v>
      </c>
      <c r="G15" s="63" t="s">
        <v>10</v>
      </c>
      <c r="H15" s="62" t="s">
        <v>207</v>
      </c>
      <c r="I15" s="63">
        <v>213.87</v>
      </c>
      <c r="J15" s="63">
        <f t="shared" si="14"/>
        <v>37641.12</v>
      </c>
      <c r="K15" s="63">
        <f t="shared" ref="K15:V15" si="15">$J15</f>
        <v>37641.12</v>
      </c>
      <c r="L15" s="63">
        <f t="shared" si="15"/>
        <v>37641.12</v>
      </c>
      <c r="M15" s="63">
        <f t="shared" si="15"/>
        <v>37641.12</v>
      </c>
      <c r="N15" s="63">
        <f t="shared" si="15"/>
        <v>37641.12</v>
      </c>
      <c r="O15" s="63">
        <f t="shared" si="15"/>
        <v>37641.12</v>
      </c>
      <c r="P15" s="63">
        <f t="shared" si="15"/>
        <v>37641.12</v>
      </c>
      <c r="Q15" s="63">
        <f t="shared" si="15"/>
        <v>37641.12</v>
      </c>
      <c r="R15" s="63">
        <f t="shared" si="15"/>
        <v>37641.12</v>
      </c>
      <c r="S15" s="63">
        <f t="shared" si="15"/>
        <v>37641.12</v>
      </c>
      <c r="T15" s="63">
        <f t="shared" si="15"/>
        <v>37641.12</v>
      </c>
      <c r="U15" s="63">
        <f t="shared" si="15"/>
        <v>37641.12</v>
      </c>
      <c r="V15" s="63">
        <f t="shared" si="15"/>
        <v>37641.12</v>
      </c>
      <c r="W15" s="63">
        <f t="shared" si="16"/>
        <v>451693.44</v>
      </c>
      <c r="X15" s="64">
        <f t="shared" si="17"/>
        <v>414052.32</v>
      </c>
    </row>
    <row r="16" ht="12.75" customHeight="1">
      <c r="A16" s="60" t="s">
        <v>42</v>
      </c>
      <c r="B16" s="61" t="s">
        <v>210</v>
      </c>
      <c r="C16" s="61" t="s">
        <v>211</v>
      </c>
      <c r="D16" s="62" t="s">
        <v>41</v>
      </c>
      <c r="E16" s="76" t="s">
        <v>133</v>
      </c>
      <c r="F16" s="62" t="s">
        <v>19</v>
      </c>
      <c r="G16" s="63" t="s">
        <v>10</v>
      </c>
      <c r="H16" s="62" t="s">
        <v>207</v>
      </c>
      <c r="I16" s="63">
        <v>191.36</v>
      </c>
      <c r="J16" s="63">
        <f t="shared" si="14"/>
        <v>33679.36</v>
      </c>
      <c r="K16" s="63">
        <f t="shared" ref="K16:V16" si="18">$J16</f>
        <v>33679.36</v>
      </c>
      <c r="L16" s="63">
        <f t="shared" si="18"/>
        <v>33679.36</v>
      </c>
      <c r="M16" s="63">
        <f t="shared" si="18"/>
        <v>33679.36</v>
      </c>
      <c r="N16" s="63">
        <f t="shared" si="18"/>
        <v>33679.36</v>
      </c>
      <c r="O16" s="63">
        <f t="shared" si="18"/>
        <v>33679.36</v>
      </c>
      <c r="P16" s="63">
        <f t="shared" si="18"/>
        <v>33679.36</v>
      </c>
      <c r="Q16" s="63">
        <f t="shared" si="18"/>
        <v>33679.36</v>
      </c>
      <c r="R16" s="63">
        <f t="shared" si="18"/>
        <v>33679.36</v>
      </c>
      <c r="S16" s="63">
        <f t="shared" si="18"/>
        <v>33679.36</v>
      </c>
      <c r="T16" s="63">
        <f t="shared" si="18"/>
        <v>33679.36</v>
      </c>
      <c r="U16" s="63">
        <f t="shared" si="18"/>
        <v>33679.36</v>
      </c>
      <c r="V16" s="63">
        <f t="shared" si="18"/>
        <v>33679.36</v>
      </c>
      <c r="W16" s="63">
        <f t="shared" si="16"/>
        <v>404152.32</v>
      </c>
      <c r="X16" s="64">
        <f t="shared" si="17"/>
        <v>370472.96</v>
      </c>
    </row>
    <row r="17" ht="12.75" customHeight="1">
      <c r="A17" s="73" t="s">
        <v>232</v>
      </c>
      <c r="B17" s="4"/>
      <c r="C17" s="4"/>
      <c r="D17" s="62" t="s">
        <v>43</v>
      </c>
      <c r="E17" s="62" t="s">
        <v>111</v>
      </c>
      <c r="F17" s="62" t="s">
        <v>19</v>
      </c>
      <c r="G17" s="63" t="s">
        <v>10</v>
      </c>
      <c r="H17" s="62" t="s">
        <v>207</v>
      </c>
      <c r="I17" s="63">
        <v>213.87</v>
      </c>
      <c r="J17" s="63">
        <v>40000.0</v>
      </c>
      <c r="K17" s="63">
        <f t="shared" ref="K17:V17" si="19">$J17</f>
        <v>40000</v>
      </c>
      <c r="L17" s="63">
        <f t="shared" si="19"/>
        <v>40000</v>
      </c>
      <c r="M17" s="63">
        <f t="shared" si="19"/>
        <v>40000</v>
      </c>
      <c r="N17" s="63">
        <f t="shared" si="19"/>
        <v>40000</v>
      </c>
      <c r="O17" s="63">
        <f t="shared" si="19"/>
        <v>40000</v>
      </c>
      <c r="P17" s="63">
        <f t="shared" si="19"/>
        <v>40000</v>
      </c>
      <c r="Q17" s="63">
        <f t="shared" si="19"/>
        <v>40000</v>
      </c>
      <c r="R17" s="63">
        <f t="shared" si="19"/>
        <v>40000</v>
      </c>
      <c r="S17" s="63">
        <f t="shared" si="19"/>
        <v>40000</v>
      </c>
      <c r="T17" s="63">
        <f t="shared" si="19"/>
        <v>40000</v>
      </c>
      <c r="U17" s="63">
        <f t="shared" si="19"/>
        <v>40000</v>
      </c>
      <c r="V17" s="63">
        <f t="shared" si="19"/>
        <v>40000</v>
      </c>
      <c r="W17" s="63">
        <f t="shared" si="16"/>
        <v>480000</v>
      </c>
      <c r="X17" s="64">
        <f t="shared" si="17"/>
        <v>440000</v>
      </c>
    </row>
    <row r="18" ht="12.75" customHeight="1">
      <c r="A18" s="77"/>
      <c r="B18" s="78"/>
      <c r="C18" s="78"/>
      <c r="D18" s="78"/>
      <c r="E18" s="78"/>
      <c r="F18" s="78"/>
      <c r="G18" s="79"/>
      <c r="H18" s="78"/>
      <c r="I18" s="79"/>
      <c r="J18" s="96">
        <f t="shared" ref="J18:X18" si="20">SUM(J14:J17)</f>
        <v>148961.6</v>
      </c>
      <c r="K18" s="96">
        <f t="shared" si="20"/>
        <v>148961.6</v>
      </c>
      <c r="L18" s="96">
        <f t="shared" si="20"/>
        <v>148961.6</v>
      </c>
      <c r="M18" s="96">
        <f t="shared" si="20"/>
        <v>148961.6</v>
      </c>
      <c r="N18" s="96">
        <f t="shared" si="20"/>
        <v>148961.6</v>
      </c>
      <c r="O18" s="96">
        <f t="shared" si="20"/>
        <v>148961.6</v>
      </c>
      <c r="P18" s="96">
        <f t="shared" si="20"/>
        <v>148961.6</v>
      </c>
      <c r="Q18" s="96">
        <f t="shared" si="20"/>
        <v>148961.6</v>
      </c>
      <c r="R18" s="96">
        <f t="shared" si="20"/>
        <v>148961.6</v>
      </c>
      <c r="S18" s="96">
        <f t="shared" si="20"/>
        <v>148961.6</v>
      </c>
      <c r="T18" s="96">
        <f t="shared" si="20"/>
        <v>148961.6</v>
      </c>
      <c r="U18" s="96">
        <f t="shared" si="20"/>
        <v>148961.6</v>
      </c>
      <c r="V18" s="96">
        <f t="shared" si="20"/>
        <v>148961.6</v>
      </c>
      <c r="W18" s="96">
        <f t="shared" si="20"/>
        <v>1787539.2</v>
      </c>
      <c r="X18" s="98">
        <f t="shared" si="20"/>
        <v>1638577.6</v>
      </c>
    </row>
    <row r="19" ht="12.75" customHeight="1">
      <c r="A19" s="4"/>
      <c r="B19" s="4"/>
      <c r="C19" s="4"/>
      <c r="D19" s="4"/>
      <c r="E19" s="4"/>
      <c r="F19" s="4"/>
      <c r="G19" s="72"/>
      <c r="H19" s="4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</row>
    <row r="20" ht="12.75" customHeight="1">
      <c r="A20" s="4"/>
      <c r="B20" s="4"/>
      <c r="C20" s="4"/>
      <c r="D20" s="4"/>
      <c r="E20" s="4"/>
      <c r="F20" s="4"/>
      <c r="G20" s="72"/>
      <c r="H20" s="4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</row>
    <row r="21" ht="12.75" customHeight="1">
      <c r="A21" s="4"/>
      <c r="B21" s="4"/>
      <c r="C21" s="4"/>
      <c r="D21" s="4"/>
      <c r="E21" s="4"/>
      <c r="F21" s="4"/>
      <c r="G21" s="72"/>
      <c r="H21" s="4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</row>
    <row r="22" ht="12.75" customHeight="1">
      <c r="A22" s="4"/>
      <c r="B22" s="4"/>
      <c r="C22" s="4"/>
      <c r="D22" s="4"/>
      <c r="E22" s="4"/>
      <c r="F22" s="4"/>
      <c r="G22" s="72"/>
      <c r="H22" s="4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</row>
    <row r="23" ht="15.75" customHeight="1"/>
    <row r="24" ht="12.75" customHeight="1">
      <c r="A24" s="4"/>
      <c r="B24" s="4"/>
      <c r="C24" s="4"/>
      <c r="D24" s="4"/>
      <c r="E24" s="4"/>
      <c r="F24" s="4"/>
      <c r="G24" s="72"/>
      <c r="H24" s="4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</row>
    <row r="25" ht="12.75" customHeight="1">
      <c r="A25" s="4"/>
      <c r="B25" s="4"/>
      <c r="C25" s="4"/>
      <c r="D25" s="4"/>
      <c r="E25" s="4"/>
      <c r="F25" s="4"/>
      <c r="G25" s="72"/>
      <c r="H25" s="4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</row>
    <row r="26" ht="12.75" customHeight="1">
      <c r="A26" s="4"/>
      <c r="B26" s="4"/>
      <c r="C26" s="4"/>
      <c r="D26" s="4"/>
      <c r="E26" s="4"/>
      <c r="F26" s="4"/>
      <c r="G26" s="72"/>
      <c r="H26" s="4"/>
      <c r="I26" s="72"/>
      <c r="J26" s="72"/>
      <c r="K26" s="72"/>
      <c r="L26" s="72"/>
      <c r="M26" s="72"/>
      <c r="O26" s="72"/>
      <c r="P26" s="72"/>
      <c r="Q26" s="72"/>
      <c r="R26" s="72"/>
      <c r="S26" s="72"/>
      <c r="T26" s="72"/>
      <c r="U26" s="72"/>
      <c r="V26" s="72"/>
      <c r="W26" s="72"/>
      <c r="X26" s="72"/>
    </row>
    <row r="27" ht="12.75" customHeight="1">
      <c r="A27" s="4"/>
      <c r="B27" s="4"/>
      <c r="C27" s="4"/>
      <c r="D27" s="4"/>
      <c r="E27" s="4"/>
      <c r="F27" s="4"/>
      <c r="G27" s="72"/>
      <c r="H27" s="4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</row>
    <row r="28" ht="12.75" customHeight="1">
      <c r="A28" s="4"/>
      <c r="B28" s="4"/>
      <c r="C28" s="4"/>
      <c r="D28" s="4"/>
      <c r="E28" s="4"/>
      <c r="F28" s="4"/>
      <c r="G28" s="72"/>
      <c r="H28" s="4"/>
      <c r="I28" s="72"/>
      <c r="J28" s="72"/>
      <c r="K28" s="72"/>
      <c r="L28" s="72"/>
      <c r="M28" s="72"/>
      <c r="N28" s="99"/>
      <c r="O28" s="72"/>
      <c r="P28" s="72"/>
      <c r="Q28" s="72"/>
      <c r="R28" s="72"/>
      <c r="S28" s="72"/>
      <c r="T28" s="72"/>
      <c r="U28" s="72"/>
      <c r="V28" s="72"/>
      <c r="W28" s="72"/>
      <c r="X28" s="72"/>
    </row>
    <row r="29" ht="12.75" customHeight="1">
      <c r="A29" s="4"/>
      <c r="B29" s="4"/>
      <c r="C29" s="4"/>
      <c r="D29" s="4"/>
      <c r="E29" s="4"/>
      <c r="F29" s="4"/>
      <c r="G29" s="72"/>
      <c r="H29" s="4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</row>
    <row r="30" ht="12.75" customHeight="1">
      <c r="A30" s="4"/>
      <c r="B30" s="4"/>
      <c r="C30" s="4"/>
      <c r="D30" s="4"/>
      <c r="E30" s="4"/>
      <c r="F30" s="4"/>
      <c r="G30" s="72"/>
      <c r="H30" s="4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</row>
    <row r="31" ht="12.75" customHeight="1">
      <c r="A31" s="4"/>
      <c r="B31" s="4"/>
      <c r="C31" s="4"/>
      <c r="D31" s="4"/>
      <c r="E31" s="4"/>
      <c r="F31" s="4"/>
      <c r="G31" s="72"/>
      <c r="H31" s="4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</row>
    <row r="32" ht="12.75" customHeight="1">
      <c r="A32" s="4"/>
      <c r="B32" s="4"/>
      <c r="C32" s="4"/>
      <c r="D32" s="4"/>
      <c r="E32" s="4"/>
      <c r="F32" s="4"/>
      <c r="G32" s="72"/>
      <c r="H32" s="4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</row>
    <row r="33" ht="12.75" customHeight="1">
      <c r="A33" s="4"/>
      <c r="B33" s="4"/>
      <c r="C33" s="4"/>
      <c r="D33" s="4"/>
      <c r="E33" s="4"/>
      <c r="F33" s="4"/>
      <c r="G33" s="72"/>
      <c r="H33" s="4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</row>
    <row r="34" ht="12.75" customHeight="1">
      <c r="A34" s="4"/>
      <c r="B34" s="4"/>
      <c r="C34" s="4"/>
      <c r="D34" s="4"/>
      <c r="E34" s="4"/>
      <c r="F34" s="4"/>
      <c r="G34" s="72"/>
      <c r="H34" s="4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</row>
    <row r="35" ht="12.75" customHeight="1">
      <c r="A35" s="4"/>
      <c r="B35" s="4"/>
      <c r="C35" s="4"/>
      <c r="D35" s="4"/>
      <c r="E35" s="4"/>
      <c r="F35" s="4"/>
      <c r="G35" s="72"/>
      <c r="H35" s="4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</row>
    <row r="36" ht="12.75" customHeight="1">
      <c r="A36" s="4"/>
      <c r="B36" s="4"/>
      <c r="C36" s="4"/>
      <c r="D36" s="4"/>
      <c r="E36" s="4"/>
      <c r="F36" s="4"/>
      <c r="G36" s="72"/>
      <c r="H36" s="4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</row>
    <row r="37" ht="12.75" customHeight="1">
      <c r="A37" s="4"/>
      <c r="B37" s="4"/>
      <c r="C37" s="4"/>
      <c r="D37" s="4"/>
      <c r="E37" s="4"/>
      <c r="F37" s="4"/>
      <c r="G37" s="72"/>
      <c r="H37" s="4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</row>
    <row r="38" ht="12.75" customHeight="1">
      <c r="A38" s="4"/>
      <c r="B38" s="4"/>
      <c r="C38" s="4"/>
      <c r="D38" s="4"/>
      <c r="E38" s="4"/>
      <c r="F38" s="4"/>
      <c r="G38" s="72"/>
      <c r="H38" s="4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</row>
    <row r="39" ht="12.75" customHeight="1">
      <c r="A39" s="4"/>
      <c r="B39" s="4"/>
      <c r="C39" s="4"/>
      <c r="D39" s="4"/>
      <c r="E39" s="4"/>
      <c r="F39" s="4"/>
      <c r="G39" s="72"/>
      <c r="H39" s="4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</row>
    <row r="40" ht="12.75" customHeight="1">
      <c r="A40" s="4"/>
      <c r="B40" s="4"/>
      <c r="C40" s="4"/>
      <c r="D40" s="4"/>
      <c r="E40" s="4"/>
      <c r="F40" s="4"/>
      <c r="G40" s="72"/>
      <c r="H40" s="4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</row>
    <row r="41" ht="12.75" customHeight="1">
      <c r="A41" s="4"/>
      <c r="B41" s="4"/>
      <c r="C41" s="4"/>
      <c r="D41" s="4"/>
      <c r="E41" s="4"/>
      <c r="F41" s="4"/>
      <c r="G41" s="72"/>
      <c r="H41" s="4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</row>
    <row r="42" ht="12.75" customHeight="1">
      <c r="A42" s="4"/>
      <c r="B42" s="4"/>
      <c r="C42" s="4"/>
      <c r="D42" s="4"/>
      <c r="E42" s="4"/>
      <c r="F42" s="4"/>
      <c r="G42" s="72"/>
      <c r="H42" s="4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</row>
    <row r="43" ht="12.75" customHeight="1">
      <c r="A43" s="4"/>
      <c r="B43" s="4"/>
      <c r="C43" s="4"/>
      <c r="D43" s="4"/>
      <c r="E43" s="4"/>
      <c r="F43" s="4"/>
      <c r="G43" s="72"/>
      <c r="H43" s="4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</row>
    <row r="44" ht="12.75" customHeight="1">
      <c r="A44" s="4"/>
      <c r="B44" s="4"/>
      <c r="C44" s="4"/>
      <c r="D44" s="4"/>
      <c r="E44" s="4"/>
      <c r="F44" s="4"/>
      <c r="G44" s="72"/>
      <c r="H44" s="4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</row>
    <row r="45" ht="12.75" customHeight="1">
      <c r="A45" s="4"/>
      <c r="B45" s="4"/>
      <c r="C45" s="4"/>
      <c r="D45" s="4"/>
      <c r="E45" s="4"/>
      <c r="F45" s="4"/>
      <c r="G45" s="72"/>
      <c r="H45" s="4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</row>
    <row r="46" ht="12.75" customHeight="1">
      <c r="A46" s="4"/>
      <c r="B46" s="4"/>
      <c r="C46" s="4"/>
      <c r="D46" s="4"/>
      <c r="E46" s="4"/>
      <c r="F46" s="4"/>
      <c r="G46" s="72"/>
      <c r="H46" s="4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</row>
    <row r="47" ht="12.75" customHeight="1">
      <c r="A47" s="4"/>
      <c r="B47" s="4"/>
      <c r="C47" s="4"/>
      <c r="D47" s="4"/>
      <c r="E47" s="4"/>
      <c r="F47" s="4"/>
      <c r="G47" s="72"/>
      <c r="H47" s="4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</row>
    <row r="48" ht="12.75" customHeight="1">
      <c r="A48" s="4"/>
      <c r="B48" s="4"/>
      <c r="C48" s="4"/>
      <c r="D48" s="4"/>
      <c r="E48" s="4"/>
      <c r="F48" s="4"/>
      <c r="G48" s="72"/>
      <c r="H48" s="4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</row>
    <row r="49" ht="12.75" customHeight="1">
      <c r="A49" s="4"/>
      <c r="B49" s="4"/>
      <c r="C49" s="4"/>
      <c r="D49" s="4"/>
      <c r="E49" s="4"/>
      <c r="F49" s="4"/>
      <c r="G49" s="72"/>
      <c r="H49" s="4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</row>
    <row r="50" ht="12.75" customHeight="1">
      <c r="A50" s="4"/>
      <c r="B50" s="4"/>
      <c r="C50" s="4"/>
      <c r="D50" s="4"/>
      <c r="E50" s="4"/>
      <c r="F50" s="4"/>
      <c r="G50" s="72"/>
      <c r="H50" s="4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</row>
    <row r="51" ht="12.75" customHeight="1">
      <c r="A51" s="4"/>
      <c r="B51" s="4"/>
      <c r="C51" s="4"/>
      <c r="D51" s="4"/>
      <c r="E51" s="4"/>
      <c r="F51" s="4"/>
      <c r="G51" s="72"/>
      <c r="H51" s="4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</row>
    <row r="52" ht="12.75" customHeight="1">
      <c r="A52" s="4"/>
      <c r="B52" s="4"/>
      <c r="C52" s="4"/>
      <c r="D52" s="4"/>
      <c r="E52" s="4"/>
      <c r="F52" s="4"/>
      <c r="G52" s="72"/>
      <c r="H52" s="4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</row>
    <row r="53" ht="12.75" customHeight="1">
      <c r="A53" s="4"/>
      <c r="B53" s="4"/>
      <c r="C53" s="4"/>
      <c r="D53" s="4"/>
      <c r="E53" s="4"/>
      <c r="F53" s="4"/>
      <c r="G53" s="72"/>
      <c r="H53" s="4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</row>
    <row r="54" ht="12.75" customHeight="1">
      <c r="A54" s="4"/>
      <c r="B54" s="4"/>
      <c r="C54" s="4"/>
      <c r="D54" s="4"/>
      <c r="E54" s="4"/>
      <c r="F54" s="4"/>
      <c r="G54" s="72"/>
      <c r="H54" s="4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</row>
    <row r="55" ht="12.75" customHeight="1">
      <c r="A55" s="4"/>
      <c r="B55" s="4"/>
      <c r="C55" s="4"/>
      <c r="D55" s="4"/>
      <c r="E55" s="4"/>
      <c r="F55" s="4"/>
      <c r="G55" s="72"/>
      <c r="H55" s="4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</row>
    <row r="56" ht="12.75" customHeight="1">
      <c r="A56" s="4"/>
      <c r="B56" s="4"/>
      <c r="C56" s="4"/>
      <c r="D56" s="4"/>
      <c r="E56" s="4"/>
      <c r="F56" s="4"/>
      <c r="G56" s="72"/>
      <c r="H56" s="4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</row>
    <row r="57" ht="12.75" customHeight="1">
      <c r="A57" s="4"/>
      <c r="B57" s="4"/>
      <c r="C57" s="4"/>
      <c r="D57" s="4"/>
      <c r="E57" s="4"/>
      <c r="F57" s="4"/>
      <c r="G57" s="72"/>
      <c r="H57" s="4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</row>
    <row r="58" ht="12.75" customHeight="1">
      <c r="A58" s="4"/>
      <c r="B58" s="4"/>
      <c r="C58" s="4"/>
      <c r="D58" s="4"/>
      <c r="E58" s="4"/>
      <c r="F58" s="4"/>
      <c r="G58" s="72"/>
      <c r="H58" s="4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</row>
    <row r="59" ht="12.75" customHeight="1">
      <c r="A59" s="4"/>
      <c r="B59" s="4"/>
      <c r="C59" s="4"/>
      <c r="D59" s="4"/>
      <c r="E59" s="4"/>
      <c r="F59" s="4"/>
      <c r="G59" s="72"/>
      <c r="H59" s="4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</row>
    <row r="60" ht="12.75" customHeight="1">
      <c r="A60" s="4"/>
      <c r="B60" s="4"/>
      <c r="C60" s="4"/>
      <c r="D60" s="4"/>
      <c r="E60" s="4"/>
      <c r="F60" s="4"/>
      <c r="G60" s="72"/>
      <c r="H60" s="4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</row>
    <row r="61" ht="12.75" customHeight="1">
      <c r="A61" s="4"/>
      <c r="B61" s="4"/>
      <c r="C61" s="4"/>
      <c r="D61" s="4"/>
      <c r="E61" s="4"/>
      <c r="F61" s="4"/>
      <c r="G61" s="72"/>
      <c r="H61" s="4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</row>
    <row r="62" ht="12.75" customHeight="1">
      <c r="A62" s="4"/>
      <c r="B62" s="4"/>
      <c r="C62" s="4"/>
      <c r="D62" s="4"/>
      <c r="E62" s="4"/>
      <c r="F62" s="4"/>
      <c r="G62" s="72"/>
      <c r="H62" s="4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</row>
    <row r="63" ht="12.75" customHeight="1">
      <c r="A63" s="4"/>
      <c r="B63" s="4"/>
      <c r="C63" s="4"/>
      <c r="D63" s="4"/>
      <c r="E63" s="4"/>
      <c r="F63" s="4"/>
      <c r="G63" s="72"/>
      <c r="H63" s="4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</row>
    <row r="64" ht="12.75" customHeight="1">
      <c r="A64" s="4"/>
      <c r="B64" s="4"/>
      <c r="C64" s="4"/>
      <c r="D64" s="4"/>
      <c r="E64" s="4"/>
      <c r="F64" s="4"/>
      <c r="G64" s="72"/>
      <c r="H64" s="4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</row>
    <row r="65" ht="12.75" customHeight="1">
      <c r="A65" s="4"/>
      <c r="B65" s="4"/>
      <c r="C65" s="4"/>
      <c r="D65" s="4"/>
      <c r="E65" s="4"/>
      <c r="F65" s="4"/>
      <c r="G65" s="72"/>
      <c r="H65" s="4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</row>
    <row r="66" ht="12.75" customHeight="1">
      <c r="A66" s="4"/>
      <c r="B66" s="4"/>
      <c r="C66" s="4"/>
      <c r="D66" s="4"/>
      <c r="E66" s="4"/>
      <c r="F66" s="4"/>
      <c r="G66" s="72"/>
      <c r="H66" s="4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</row>
    <row r="67" ht="12.75" customHeight="1">
      <c r="A67" s="4"/>
      <c r="B67" s="4"/>
      <c r="C67" s="4"/>
      <c r="D67" s="4"/>
      <c r="E67" s="4"/>
      <c r="F67" s="4"/>
      <c r="G67" s="72"/>
      <c r="H67" s="4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</row>
    <row r="68" ht="12.75" customHeight="1">
      <c r="A68" s="4"/>
      <c r="B68" s="4"/>
      <c r="C68" s="4"/>
      <c r="D68" s="4"/>
      <c r="E68" s="4"/>
      <c r="F68" s="4"/>
      <c r="G68" s="72"/>
      <c r="H68" s="4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</row>
    <row r="69" ht="12.75" customHeight="1">
      <c r="A69" s="4"/>
      <c r="B69" s="4"/>
      <c r="C69" s="4"/>
      <c r="D69" s="4"/>
      <c r="E69" s="4"/>
      <c r="F69" s="4"/>
      <c r="G69" s="72"/>
      <c r="H69" s="4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</row>
    <row r="70" ht="12.75" customHeight="1">
      <c r="A70" s="4"/>
      <c r="B70" s="4"/>
      <c r="C70" s="4"/>
      <c r="D70" s="4"/>
      <c r="E70" s="4"/>
      <c r="F70" s="4"/>
      <c r="G70" s="72"/>
      <c r="H70" s="4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</row>
    <row r="71" ht="12.75" customHeight="1">
      <c r="A71" s="4"/>
      <c r="B71" s="4"/>
      <c r="C71" s="4"/>
      <c r="D71" s="4"/>
      <c r="E71" s="4"/>
      <c r="F71" s="4"/>
      <c r="G71" s="72"/>
      <c r="H71" s="4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</row>
    <row r="72" ht="12.75" customHeight="1">
      <c r="A72" s="4"/>
      <c r="B72" s="4"/>
      <c r="C72" s="4"/>
      <c r="D72" s="4"/>
      <c r="E72" s="4"/>
      <c r="F72" s="4"/>
      <c r="G72" s="72"/>
      <c r="H72" s="4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</row>
    <row r="73" ht="12.75" customHeight="1">
      <c r="A73" s="4"/>
      <c r="B73" s="4"/>
      <c r="C73" s="4"/>
      <c r="D73" s="4"/>
      <c r="E73" s="4"/>
      <c r="F73" s="4"/>
      <c r="G73" s="72"/>
      <c r="H73" s="4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</row>
    <row r="74" ht="12.75" customHeight="1">
      <c r="A74" s="4"/>
      <c r="B74" s="4"/>
      <c r="C74" s="4"/>
      <c r="D74" s="4"/>
      <c r="E74" s="4"/>
      <c r="F74" s="4"/>
      <c r="G74" s="72"/>
      <c r="H74" s="4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</row>
    <row r="75" ht="12.75" customHeight="1">
      <c r="A75" s="4"/>
      <c r="B75" s="4"/>
      <c r="C75" s="4"/>
      <c r="D75" s="4"/>
      <c r="E75" s="4"/>
      <c r="F75" s="4"/>
      <c r="G75" s="72"/>
      <c r="H75" s="4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</row>
    <row r="76" ht="12.75" customHeight="1">
      <c r="A76" s="4"/>
      <c r="B76" s="4"/>
      <c r="C76" s="4"/>
      <c r="D76" s="4"/>
      <c r="E76" s="4"/>
      <c r="F76" s="4"/>
      <c r="G76" s="72"/>
      <c r="H76" s="4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</row>
    <row r="77" ht="12.75" customHeight="1">
      <c r="A77" s="4"/>
      <c r="B77" s="4"/>
      <c r="C77" s="4"/>
      <c r="D77" s="4"/>
      <c r="E77" s="4"/>
      <c r="F77" s="4"/>
      <c r="G77" s="72"/>
      <c r="H77" s="4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</row>
    <row r="78" ht="12.75" customHeight="1">
      <c r="A78" s="4"/>
      <c r="B78" s="4"/>
      <c r="C78" s="4"/>
      <c r="D78" s="4"/>
      <c r="E78" s="4"/>
      <c r="F78" s="4"/>
      <c r="G78" s="72"/>
      <c r="H78" s="4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</row>
    <row r="79" ht="12.75" customHeight="1">
      <c r="A79" s="4"/>
      <c r="B79" s="4"/>
      <c r="C79" s="4"/>
      <c r="D79" s="4"/>
      <c r="E79" s="4"/>
      <c r="F79" s="4"/>
      <c r="G79" s="72"/>
      <c r="H79" s="4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</row>
    <row r="80" ht="12.75" customHeight="1">
      <c r="A80" s="4"/>
      <c r="B80" s="4"/>
      <c r="C80" s="4"/>
      <c r="D80" s="4"/>
      <c r="E80" s="4"/>
      <c r="F80" s="4"/>
      <c r="G80" s="72"/>
      <c r="H80" s="4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</row>
    <row r="81" ht="12.75" customHeight="1">
      <c r="A81" s="4"/>
      <c r="B81" s="4"/>
      <c r="C81" s="4"/>
      <c r="D81" s="4"/>
      <c r="E81" s="4"/>
      <c r="F81" s="4"/>
      <c r="G81" s="72"/>
      <c r="H81" s="4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</row>
    <row r="82" ht="12.75" customHeight="1">
      <c r="A82" s="4"/>
      <c r="B82" s="4"/>
      <c r="C82" s="4"/>
      <c r="D82" s="4"/>
      <c r="E82" s="4"/>
      <c r="F82" s="4"/>
      <c r="G82" s="72"/>
      <c r="H82" s="4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</row>
    <row r="83" ht="12.75" customHeight="1">
      <c r="A83" s="4"/>
      <c r="B83" s="4"/>
      <c r="C83" s="4"/>
      <c r="D83" s="4"/>
      <c r="E83" s="4"/>
      <c r="F83" s="4"/>
      <c r="G83" s="72"/>
      <c r="H83" s="4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</row>
    <row r="84" ht="12.75" customHeight="1">
      <c r="A84" s="4"/>
      <c r="B84" s="4"/>
      <c r="C84" s="4"/>
      <c r="D84" s="4"/>
      <c r="E84" s="4"/>
      <c r="F84" s="4"/>
      <c r="G84" s="72"/>
      <c r="H84" s="4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</row>
    <row r="85" ht="12.75" customHeight="1">
      <c r="A85" s="4"/>
      <c r="B85" s="4"/>
      <c r="C85" s="4"/>
      <c r="D85" s="4"/>
      <c r="E85" s="4"/>
      <c r="F85" s="4"/>
      <c r="G85" s="72"/>
      <c r="H85" s="4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</row>
    <row r="86" ht="12.75" customHeight="1">
      <c r="A86" s="4"/>
      <c r="B86" s="4"/>
      <c r="C86" s="4"/>
      <c r="D86" s="4"/>
      <c r="E86" s="4"/>
      <c r="F86" s="4"/>
      <c r="G86" s="72"/>
      <c r="H86" s="4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</row>
    <row r="87" ht="12.75" customHeight="1">
      <c r="A87" s="4"/>
      <c r="B87" s="4"/>
      <c r="C87" s="4"/>
      <c r="D87" s="4"/>
      <c r="E87" s="4"/>
      <c r="F87" s="4"/>
      <c r="G87" s="72"/>
      <c r="H87" s="4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</row>
    <row r="88" ht="12.75" customHeight="1">
      <c r="A88" s="4"/>
      <c r="B88" s="4"/>
      <c r="C88" s="4"/>
      <c r="D88" s="4"/>
      <c r="E88" s="4"/>
      <c r="F88" s="4"/>
      <c r="G88" s="72"/>
      <c r="H88" s="4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</row>
    <row r="89" ht="12.75" customHeight="1">
      <c r="A89" s="4"/>
      <c r="B89" s="4"/>
      <c r="C89" s="4"/>
      <c r="D89" s="4"/>
      <c r="E89" s="4"/>
      <c r="F89" s="4"/>
      <c r="G89" s="72"/>
      <c r="H89" s="4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</row>
    <row r="90" ht="12.75" customHeight="1">
      <c r="A90" s="4"/>
      <c r="B90" s="4"/>
      <c r="C90" s="4"/>
      <c r="D90" s="4"/>
      <c r="E90" s="4"/>
      <c r="F90" s="4"/>
      <c r="G90" s="72"/>
      <c r="H90" s="4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</row>
    <row r="91" ht="12.75" customHeight="1">
      <c r="A91" s="4"/>
      <c r="B91" s="4"/>
      <c r="C91" s="4"/>
      <c r="D91" s="4"/>
      <c r="E91" s="4"/>
      <c r="F91" s="4"/>
      <c r="G91" s="72"/>
      <c r="H91" s="4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</row>
    <row r="92" ht="12.75" customHeight="1">
      <c r="A92" s="4"/>
      <c r="B92" s="4"/>
      <c r="C92" s="4"/>
      <c r="D92" s="4"/>
      <c r="E92" s="4"/>
      <c r="F92" s="4"/>
      <c r="G92" s="72"/>
      <c r="H92" s="4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</row>
    <row r="93" ht="12.75" customHeight="1">
      <c r="A93" s="4"/>
      <c r="B93" s="4"/>
      <c r="C93" s="4"/>
      <c r="D93" s="4"/>
      <c r="E93" s="4"/>
      <c r="F93" s="4"/>
      <c r="G93" s="72"/>
      <c r="H93" s="4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</row>
    <row r="94" ht="12.75" customHeight="1">
      <c r="A94" s="4"/>
      <c r="B94" s="4"/>
      <c r="C94" s="4"/>
      <c r="D94" s="4"/>
      <c r="E94" s="4"/>
      <c r="F94" s="4"/>
      <c r="G94" s="72"/>
      <c r="H94" s="4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</row>
    <row r="95" ht="12.75" customHeight="1">
      <c r="A95" s="4"/>
      <c r="B95" s="4"/>
      <c r="C95" s="4"/>
      <c r="D95" s="4"/>
      <c r="E95" s="4"/>
      <c r="F95" s="4"/>
      <c r="G95" s="72"/>
      <c r="H95" s="4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</row>
    <row r="96" ht="12.75" customHeight="1">
      <c r="A96" s="4"/>
      <c r="B96" s="4"/>
      <c r="C96" s="4"/>
      <c r="D96" s="4"/>
      <c r="E96" s="4"/>
      <c r="F96" s="4"/>
      <c r="G96" s="72"/>
      <c r="H96" s="4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</row>
    <row r="97" ht="12.75" customHeight="1">
      <c r="A97" s="4"/>
      <c r="B97" s="4"/>
      <c r="C97" s="4"/>
      <c r="D97" s="4"/>
      <c r="E97" s="4"/>
      <c r="F97" s="4"/>
      <c r="G97" s="72"/>
      <c r="H97" s="4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</row>
    <row r="98" ht="12.75" customHeight="1">
      <c r="A98" s="4"/>
      <c r="B98" s="4"/>
      <c r="C98" s="4"/>
      <c r="D98" s="4"/>
      <c r="E98" s="4"/>
      <c r="F98" s="4"/>
      <c r="G98" s="72"/>
      <c r="H98" s="4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</row>
    <row r="99" ht="12.75" customHeight="1">
      <c r="A99" s="4"/>
      <c r="B99" s="4"/>
      <c r="C99" s="4"/>
      <c r="D99" s="4"/>
      <c r="E99" s="4"/>
      <c r="F99" s="4"/>
      <c r="G99" s="72"/>
      <c r="H99" s="4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</row>
    <row r="100" ht="12.75" customHeight="1">
      <c r="A100" s="4"/>
      <c r="B100" s="4"/>
      <c r="C100" s="4"/>
      <c r="D100" s="4"/>
      <c r="E100" s="4"/>
      <c r="F100" s="4"/>
      <c r="G100" s="72"/>
      <c r="H100" s="4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</row>
    <row r="101" ht="12.75" customHeight="1">
      <c r="A101" s="4"/>
      <c r="B101" s="4"/>
      <c r="C101" s="4"/>
      <c r="D101" s="4"/>
      <c r="E101" s="4"/>
      <c r="F101" s="4"/>
      <c r="G101" s="72"/>
      <c r="H101" s="4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</row>
    <row r="102" ht="12.75" customHeight="1">
      <c r="A102" s="4"/>
      <c r="B102" s="4"/>
      <c r="C102" s="4"/>
      <c r="D102" s="4"/>
      <c r="E102" s="4"/>
      <c r="F102" s="4"/>
      <c r="G102" s="72"/>
      <c r="H102" s="4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</row>
    <row r="103" ht="12.75" customHeight="1">
      <c r="A103" s="4"/>
      <c r="B103" s="4"/>
      <c r="C103" s="4"/>
      <c r="D103" s="4"/>
      <c r="E103" s="4"/>
      <c r="F103" s="4"/>
      <c r="G103" s="72"/>
      <c r="H103" s="4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</row>
    <row r="104" ht="12.75" customHeight="1">
      <c r="A104" s="4"/>
      <c r="B104" s="4"/>
      <c r="C104" s="4"/>
      <c r="D104" s="4"/>
      <c r="E104" s="4"/>
      <c r="F104" s="4"/>
      <c r="G104" s="72"/>
      <c r="H104" s="4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</row>
    <row r="105" ht="12.75" customHeight="1">
      <c r="A105" s="4"/>
      <c r="B105" s="4"/>
      <c r="C105" s="4"/>
      <c r="D105" s="4"/>
      <c r="E105" s="4"/>
      <c r="F105" s="4"/>
      <c r="G105" s="72"/>
      <c r="H105" s="4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</row>
    <row r="106" ht="12.75" customHeight="1">
      <c r="A106" s="4"/>
      <c r="B106" s="4"/>
      <c r="C106" s="4"/>
      <c r="D106" s="4"/>
      <c r="E106" s="4"/>
      <c r="F106" s="4"/>
      <c r="G106" s="72"/>
      <c r="H106" s="4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</row>
    <row r="107" ht="12.75" customHeight="1">
      <c r="A107" s="4"/>
      <c r="B107" s="4"/>
      <c r="C107" s="4"/>
      <c r="D107" s="4"/>
      <c r="E107" s="4"/>
      <c r="F107" s="4"/>
      <c r="G107" s="72"/>
      <c r="H107" s="4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</row>
    <row r="108" ht="12.75" customHeight="1">
      <c r="A108" s="4"/>
      <c r="B108" s="4"/>
      <c r="C108" s="4"/>
      <c r="D108" s="4"/>
      <c r="E108" s="4"/>
      <c r="F108" s="4"/>
      <c r="G108" s="72"/>
      <c r="H108" s="4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</row>
    <row r="109" ht="12.75" customHeight="1">
      <c r="A109" s="4"/>
      <c r="B109" s="4"/>
      <c r="C109" s="4"/>
      <c r="D109" s="4"/>
      <c r="E109" s="4"/>
      <c r="F109" s="4"/>
      <c r="G109" s="72"/>
      <c r="H109" s="4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</row>
    <row r="110" ht="12.75" customHeight="1">
      <c r="A110" s="4"/>
      <c r="B110" s="4"/>
      <c r="C110" s="4"/>
      <c r="D110" s="4"/>
      <c r="E110" s="4"/>
      <c r="F110" s="4"/>
      <c r="G110" s="72"/>
      <c r="H110" s="4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</row>
    <row r="111" ht="12.75" customHeight="1">
      <c r="A111" s="4"/>
      <c r="B111" s="4"/>
      <c r="C111" s="4"/>
      <c r="D111" s="4"/>
      <c r="E111" s="4"/>
      <c r="F111" s="4"/>
      <c r="G111" s="72"/>
      <c r="H111" s="4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</row>
    <row r="112" ht="12.75" customHeight="1">
      <c r="A112" s="4"/>
      <c r="B112" s="4"/>
      <c r="C112" s="4"/>
      <c r="D112" s="4"/>
      <c r="E112" s="4"/>
      <c r="F112" s="4"/>
      <c r="G112" s="72"/>
      <c r="H112" s="4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</row>
    <row r="113" ht="12.75" customHeight="1">
      <c r="A113" s="4"/>
      <c r="B113" s="4"/>
      <c r="C113" s="4"/>
      <c r="D113" s="4"/>
      <c r="E113" s="4"/>
      <c r="F113" s="4"/>
      <c r="G113" s="72"/>
      <c r="H113" s="4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</row>
    <row r="114" ht="12.75" customHeight="1">
      <c r="A114" s="4"/>
      <c r="B114" s="4"/>
      <c r="C114" s="4"/>
      <c r="D114" s="4"/>
      <c r="E114" s="4"/>
      <c r="F114" s="4"/>
      <c r="G114" s="72"/>
      <c r="H114" s="4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</row>
    <row r="115" ht="12.75" customHeight="1">
      <c r="A115" s="4"/>
      <c r="B115" s="4"/>
      <c r="C115" s="4"/>
      <c r="D115" s="4"/>
      <c r="E115" s="4"/>
      <c r="F115" s="4"/>
      <c r="G115" s="72"/>
      <c r="H115" s="4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</row>
    <row r="116" ht="12.75" customHeight="1">
      <c r="A116" s="4"/>
      <c r="B116" s="4"/>
      <c r="C116" s="4"/>
      <c r="D116" s="4"/>
      <c r="E116" s="4"/>
      <c r="F116" s="4"/>
      <c r="G116" s="72"/>
      <c r="H116" s="4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</row>
    <row r="117" ht="12.75" customHeight="1">
      <c r="A117" s="4"/>
      <c r="B117" s="4"/>
      <c r="C117" s="4"/>
      <c r="D117" s="4"/>
      <c r="E117" s="4"/>
      <c r="F117" s="4"/>
      <c r="G117" s="72"/>
      <c r="H117" s="4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</row>
    <row r="118" ht="12.75" customHeight="1">
      <c r="A118" s="4"/>
      <c r="B118" s="4"/>
      <c r="C118" s="4"/>
      <c r="D118" s="4"/>
      <c r="E118" s="4"/>
      <c r="F118" s="4"/>
      <c r="G118" s="72"/>
      <c r="H118" s="4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</row>
    <row r="119" ht="12.75" customHeight="1">
      <c r="A119" s="4"/>
      <c r="B119" s="4"/>
      <c r="C119" s="4"/>
      <c r="D119" s="4"/>
      <c r="E119" s="4"/>
      <c r="F119" s="4"/>
      <c r="G119" s="72"/>
      <c r="H119" s="4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</row>
    <row r="120" ht="12.75" customHeight="1">
      <c r="A120" s="4"/>
      <c r="B120" s="4"/>
      <c r="C120" s="4"/>
      <c r="D120" s="4"/>
      <c r="E120" s="4"/>
      <c r="F120" s="4"/>
      <c r="G120" s="72"/>
      <c r="H120" s="4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</row>
    <row r="121" ht="12.75" customHeight="1">
      <c r="A121" s="4"/>
      <c r="B121" s="4"/>
      <c r="C121" s="4"/>
      <c r="D121" s="4"/>
      <c r="E121" s="4"/>
      <c r="F121" s="4"/>
      <c r="G121" s="72"/>
      <c r="H121" s="4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</row>
    <row r="122" ht="12.75" customHeight="1">
      <c r="A122" s="4"/>
      <c r="B122" s="4"/>
      <c r="C122" s="4"/>
      <c r="D122" s="4"/>
      <c r="E122" s="4"/>
      <c r="F122" s="4"/>
      <c r="G122" s="72"/>
      <c r="H122" s="4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</row>
    <row r="123" ht="12.75" customHeight="1">
      <c r="A123" s="4"/>
      <c r="B123" s="4"/>
      <c r="C123" s="4"/>
      <c r="D123" s="4"/>
      <c r="E123" s="4"/>
      <c r="F123" s="4"/>
      <c r="G123" s="72"/>
      <c r="H123" s="4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</row>
    <row r="124" ht="12.75" customHeight="1">
      <c r="A124" s="4"/>
      <c r="B124" s="4"/>
      <c r="C124" s="4"/>
      <c r="D124" s="4"/>
      <c r="E124" s="4"/>
      <c r="F124" s="4"/>
      <c r="G124" s="72"/>
      <c r="H124" s="4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</row>
    <row r="125" ht="12.75" customHeight="1">
      <c r="A125" s="4"/>
      <c r="B125" s="4"/>
      <c r="C125" s="4"/>
      <c r="D125" s="4"/>
      <c r="E125" s="4"/>
      <c r="F125" s="4"/>
      <c r="G125" s="72"/>
      <c r="H125" s="4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</row>
    <row r="126" ht="12.75" customHeight="1">
      <c r="A126" s="4"/>
      <c r="B126" s="4"/>
      <c r="C126" s="4"/>
      <c r="D126" s="4"/>
      <c r="E126" s="4"/>
      <c r="F126" s="4"/>
      <c r="G126" s="72"/>
      <c r="H126" s="4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</row>
    <row r="127" ht="12.75" customHeight="1">
      <c r="A127" s="4"/>
      <c r="B127" s="4"/>
      <c r="C127" s="4"/>
      <c r="D127" s="4"/>
      <c r="E127" s="4"/>
      <c r="F127" s="4"/>
      <c r="G127" s="72"/>
      <c r="H127" s="4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</row>
    <row r="128" ht="12.75" customHeight="1">
      <c r="A128" s="4"/>
      <c r="B128" s="4"/>
      <c r="C128" s="4"/>
      <c r="D128" s="4"/>
      <c r="E128" s="4"/>
      <c r="F128" s="4"/>
      <c r="G128" s="72"/>
      <c r="H128" s="4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</row>
    <row r="129" ht="12.75" customHeight="1">
      <c r="A129" s="4"/>
      <c r="B129" s="4"/>
      <c r="C129" s="4"/>
      <c r="D129" s="4"/>
      <c r="E129" s="4"/>
      <c r="F129" s="4"/>
      <c r="G129" s="72"/>
      <c r="H129" s="4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</row>
    <row r="130" ht="12.75" customHeight="1">
      <c r="A130" s="4"/>
      <c r="B130" s="4"/>
      <c r="C130" s="4"/>
      <c r="D130" s="4"/>
      <c r="E130" s="4"/>
      <c r="F130" s="4"/>
      <c r="G130" s="72"/>
      <c r="H130" s="4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</row>
    <row r="131" ht="12.75" customHeight="1">
      <c r="A131" s="4"/>
      <c r="B131" s="4"/>
      <c r="C131" s="4"/>
      <c r="D131" s="4"/>
      <c r="E131" s="4"/>
      <c r="F131" s="4"/>
      <c r="G131" s="72"/>
      <c r="H131" s="4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</row>
    <row r="132" ht="12.75" customHeight="1">
      <c r="A132" s="4"/>
      <c r="B132" s="4"/>
      <c r="C132" s="4"/>
      <c r="D132" s="4"/>
      <c r="E132" s="4"/>
      <c r="F132" s="4"/>
      <c r="G132" s="72"/>
      <c r="H132" s="4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</row>
    <row r="133" ht="12.75" customHeight="1">
      <c r="A133" s="4"/>
      <c r="B133" s="4"/>
      <c r="C133" s="4"/>
      <c r="D133" s="4"/>
      <c r="E133" s="4"/>
      <c r="F133" s="4"/>
      <c r="G133" s="72"/>
      <c r="H133" s="4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</row>
    <row r="134" ht="12.75" customHeight="1">
      <c r="A134" s="4"/>
      <c r="B134" s="4"/>
      <c r="C134" s="4"/>
      <c r="D134" s="4"/>
      <c r="E134" s="4"/>
      <c r="F134" s="4"/>
      <c r="G134" s="72"/>
      <c r="H134" s="4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</row>
    <row r="135" ht="12.75" customHeight="1">
      <c r="A135" s="4"/>
      <c r="B135" s="4"/>
      <c r="C135" s="4"/>
      <c r="D135" s="4"/>
      <c r="E135" s="4"/>
      <c r="F135" s="4"/>
      <c r="G135" s="72"/>
      <c r="H135" s="4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</row>
    <row r="136" ht="12.75" customHeight="1">
      <c r="A136" s="4"/>
      <c r="B136" s="4"/>
      <c r="C136" s="4"/>
      <c r="D136" s="4"/>
      <c r="E136" s="4"/>
      <c r="F136" s="4"/>
      <c r="G136" s="72"/>
      <c r="H136" s="4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</row>
    <row r="137" ht="12.75" customHeight="1">
      <c r="A137" s="4"/>
      <c r="B137" s="4"/>
      <c r="C137" s="4"/>
      <c r="D137" s="4"/>
      <c r="E137" s="4"/>
      <c r="F137" s="4"/>
      <c r="G137" s="72"/>
      <c r="H137" s="4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</row>
    <row r="138" ht="12.75" customHeight="1">
      <c r="A138" s="4"/>
      <c r="B138" s="4"/>
      <c r="C138" s="4"/>
      <c r="D138" s="4"/>
      <c r="E138" s="4"/>
      <c r="F138" s="4"/>
      <c r="G138" s="72"/>
      <c r="H138" s="4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</row>
    <row r="139" ht="12.75" customHeight="1">
      <c r="A139" s="4"/>
      <c r="B139" s="4"/>
      <c r="C139" s="4"/>
      <c r="D139" s="4"/>
      <c r="E139" s="4"/>
      <c r="F139" s="4"/>
      <c r="G139" s="72"/>
      <c r="H139" s="4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</row>
    <row r="140" ht="12.75" customHeight="1">
      <c r="A140" s="4"/>
      <c r="B140" s="4"/>
      <c r="C140" s="4"/>
      <c r="D140" s="4"/>
      <c r="E140" s="4"/>
      <c r="F140" s="4"/>
      <c r="G140" s="72"/>
      <c r="H140" s="4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</row>
    <row r="141" ht="12.75" customHeight="1">
      <c r="A141" s="4"/>
      <c r="B141" s="4"/>
      <c r="C141" s="4"/>
      <c r="D141" s="4"/>
      <c r="E141" s="4"/>
      <c r="F141" s="4"/>
      <c r="G141" s="72"/>
      <c r="H141" s="4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</row>
    <row r="142" ht="12.75" customHeight="1">
      <c r="A142" s="4"/>
      <c r="B142" s="4"/>
      <c r="C142" s="4"/>
      <c r="D142" s="4"/>
      <c r="E142" s="4"/>
      <c r="F142" s="4"/>
      <c r="G142" s="72"/>
      <c r="H142" s="4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</row>
    <row r="143" ht="12.75" customHeight="1">
      <c r="A143" s="4"/>
      <c r="B143" s="4"/>
      <c r="C143" s="4"/>
      <c r="D143" s="4"/>
      <c r="E143" s="4"/>
      <c r="F143" s="4"/>
      <c r="G143" s="72"/>
      <c r="H143" s="4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</row>
    <row r="144" ht="12.75" customHeight="1">
      <c r="A144" s="4"/>
      <c r="B144" s="4"/>
      <c r="C144" s="4"/>
      <c r="D144" s="4"/>
      <c r="E144" s="4"/>
      <c r="F144" s="4"/>
      <c r="G144" s="72"/>
      <c r="H144" s="4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</row>
    <row r="145" ht="12.75" customHeight="1">
      <c r="A145" s="4"/>
      <c r="B145" s="4"/>
      <c r="C145" s="4"/>
      <c r="D145" s="4"/>
      <c r="E145" s="4"/>
      <c r="F145" s="4"/>
      <c r="G145" s="72"/>
      <c r="H145" s="4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</row>
    <row r="146" ht="12.75" customHeight="1">
      <c r="A146" s="4"/>
      <c r="B146" s="4"/>
      <c r="C146" s="4"/>
      <c r="D146" s="4"/>
      <c r="E146" s="4"/>
      <c r="F146" s="4"/>
      <c r="G146" s="72"/>
      <c r="H146" s="4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</row>
    <row r="147" ht="12.75" customHeight="1">
      <c r="A147" s="4"/>
      <c r="B147" s="4"/>
      <c r="C147" s="4"/>
      <c r="D147" s="4"/>
      <c r="E147" s="4"/>
      <c r="F147" s="4"/>
      <c r="G147" s="72"/>
      <c r="H147" s="4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</row>
    <row r="148" ht="12.75" customHeight="1">
      <c r="A148" s="4"/>
      <c r="B148" s="4"/>
      <c r="C148" s="4"/>
      <c r="D148" s="4"/>
      <c r="E148" s="4"/>
      <c r="F148" s="4"/>
      <c r="G148" s="72"/>
      <c r="H148" s="4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</row>
    <row r="149" ht="12.75" customHeight="1">
      <c r="A149" s="4"/>
      <c r="B149" s="4"/>
      <c r="C149" s="4"/>
      <c r="D149" s="4"/>
      <c r="E149" s="4"/>
      <c r="F149" s="4"/>
      <c r="G149" s="72"/>
      <c r="H149" s="4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</row>
    <row r="150" ht="12.75" customHeight="1">
      <c r="A150" s="4"/>
      <c r="B150" s="4"/>
      <c r="C150" s="4"/>
      <c r="D150" s="4"/>
      <c r="E150" s="4"/>
      <c r="F150" s="4"/>
      <c r="G150" s="72"/>
      <c r="H150" s="4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</row>
    <row r="151" ht="12.75" customHeight="1">
      <c r="A151" s="4"/>
      <c r="B151" s="4"/>
      <c r="C151" s="4"/>
      <c r="D151" s="4"/>
      <c r="E151" s="4"/>
      <c r="F151" s="4"/>
      <c r="G151" s="72"/>
      <c r="H151" s="4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</row>
    <row r="152" ht="12.75" customHeight="1">
      <c r="A152" s="4"/>
      <c r="B152" s="4"/>
      <c r="C152" s="4"/>
      <c r="D152" s="4"/>
      <c r="E152" s="4"/>
      <c r="F152" s="4"/>
      <c r="G152" s="72"/>
      <c r="H152" s="4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</row>
    <row r="153" ht="12.75" customHeight="1">
      <c r="A153" s="4"/>
      <c r="B153" s="4"/>
      <c r="C153" s="4"/>
      <c r="D153" s="4"/>
      <c r="E153" s="4"/>
      <c r="F153" s="4"/>
      <c r="G153" s="72"/>
      <c r="H153" s="4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</row>
    <row r="154" ht="12.75" customHeight="1">
      <c r="A154" s="4"/>
      <c r="B154" s="4"/>
      <c r="C154" s="4"/>
      <c r="D154" s="4"/>
      <c r="E154" s="4"/>
      <c r="F154" s="4"/>
      <c r="G154" s="72"/>
      <c r="H154" s="4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</row>
    <row r="155" ht="12.75" customHeight="1">
      <c r="A155" s="4"/>
      <c r="B155" s="4"/>
      <c r="C155" s="4"/>
      <c r="D155" s="4"/>
      <c r="E155" s="4"/>
      <c r="F155" s="4"/>
      <c r="G155" s="72"/>
      <c r="H155" s="4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</row>
    <row r="156" ht="12.75" customHeight="1">
      <c r="A156" s="4"/>
      <c r="B156" s="4"/>
      <c r="C156" s="4"/>
      <c r="D156" s="4"/>
      <c r="E156" s="4"/>
      <c r="F156" s="4"/>
      <c r="G156" s="72"/>
      <c r="H156" s="4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</row>
    <row r="157" ht="12.75" customHeight="1">
      <c r="A157" s="4"/>
      <c r="B157" s="4"/>
      <c r="C157" s="4"/>
      <c r="D157" s="4"/>
      <c r="E157" s="4"/>
      <c r="F157" s="4"/>
      <c r="G157" s="72"/>
      <c r="H157" s="4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</row>
    <row r="158" ht="12.75" customHeight="1">
      <c r="A158" s="4"/>
      <c r="B158" s="4"/>
      <c r="C158" s="4"/>
      <c r="D158" s="4"/>
      <c r="E158" s="4"/>
      <c r="F158" s="4"/>
      <c r="G158" s="72"/>
      <c r="H158" s="4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</row>
    <row r="159" ht="12.75" customHeight="1">
      <c r="A159" s="4"/>
      <c r="B159" s="4"/>
      <c r="C159" s="4"/>
      <c r="D159" s="4"/>
      <c r="E159" s="4"/>
      <c r="F159" s="4"/>
      <c r="G159" s="72"/>
      <c r="H159" s="4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</row>
    <row r="160" ht="12.75" customHeight="1">
      <c r="A160" s="4"/>
      <c r="B160" s="4"/>
      <c r="C160" s="4"/>
      <c r="D160" s="4"/>
      <c r="E160" s="4"/>
      <c r="F160" s="4"/>
      <c r="G160" s="72"/>
      <c r="H160" s="4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</row>
    <row r="161" ht="12.75" customHeight="1">
      <c r="A161" s="4"/>
      <c r="B161" s="4"/>
      <c r="C161" s="4"/>
      <c r="D161" s="4"/>
      <c r="E161" s="4"/>
      <c r="F161" s="4"/>
      <c r="G161" s="72"/>
      <c r="H161" s="4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</row>
    <row r="162" ht="12.75" customHeight="1">
      <c r="A162" s="4"/>
      <c r="B162" s="4"/>
      <c r="C162" s="4"/>
      <c r="D162" s="4"/>
      <c r="E162" s="4"/>
      <c r="F162" s="4"/>
      <c r="G162" s="72"/>
      <c r="H162" s="4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</row>
    <row r="163" ht="12.75" customHeight="1">
      <c r="A163" s="4"/>
      <c r="B163" s="4"/>
      <c r="C163" s="4"/>
      <c r="D163" s="4"/>
      <c r="E163" s="4"/>
      <c r="F163" s="4"/>
      <c r="G163" s="72"/>
      <c r="H163" s="4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</row>
    <row r="164" ht="12.75" customHeight="1">
      <c r="A164" s="4"/>
      <c r="B164" s="4"/>
      <c r="C164" s="4"/>
      <c r="D164" s="4"/>
      <c r="E164" s="4"/>
      <c r="F164" s="4"/>
      <c r="G164" s="72"/>
      <c r="H164" s="4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</row>
    <row r="165" ht="12.75" customHeight="1">
      <c r="A165" s="4"/>
      <c r="B165" s="4"/>
      <c r="C165" s="4"/>
      <c r="D165" s="4"/>
      <c r="E165" s="4"/>
      <c r="F165" s="4"/>
      <c r="G165" s="72"/>
      <c r="H165" s="4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</row>
    <row r="166" ht="12.75" customHeight="1">
      <c r="A166" s="4"/>
      <c r="B166" s="4"/>
      <c r="C166" s="4"/>
      <c r="D166" s="4"/>
      <c r="E166" s="4"/>
      <c r="F166" s="4"/>
      <c r="G166" s="72"/>
      <c r="H166" s="4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</row>
    <row r="167" ht="12.75" customHeight="1">
      <c r="A167" s="4"/>
      <c r="B167" s="4"/>
      <c r="C167" s="4"/>
      <c r="D167" s="4"/>
      <c r="E167" s="4"/>
      <c r="F167" s="4"/>
      <c r="G167" s="72"/>
      <c r="H167" s="4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</row>
    <row r="168" ht="12.75" customHeight="1">
      <c r="A168" s="4"/>
      <c r="B168" s="4"/>
      <c r="C168" s="4"/>
      <c r="D168" s="4"/>
      <c r="E168" s="4"/>
      <c r="F168" s="4"/>
      <c r="G168" s="72"/>
      <c r="H168" s="4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</row>
    <row r="169" ht="12.75" customHeight="1">
      <c r="A169" s="4"/>
      <c r="B169" s="4"/>
      <c r="C169" s="4"/>
      <c r="D169" s="4"/>
      <c r="E169" s="4"/>
      <c r="F169" s="4"/>
      <c r="G169" s="72"/>
      <c r="H169" s="4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</row>
    <row r="170" ht="12.75" customHeight="1">
      <c r="A170" s="4"/>
      <c r="B170" s="4"/>
      <c r="C170" s="4"/>
      <c r="D170" s="4"/>
      <c r="E170" s="4"/>
      <c r="F170" s="4"/>
      <c r="G170" s="72"/>
      <c r="H170" s="4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</row>
    <row r="171" ht="12.75" customHeight="1">
      <c r="A171" s="4"/>
      <c r="B171" s="4"/>
      <c r="C171" s="4"/>
      <c r="D171" s="4"/>
      <c r="E171" s="4"/>
      <c r="F171" s="4"/>
      <c r="G171" s="72"/>
      <c r="H171" s="4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</row>
    <row r="172" ht="12.75" customHeight="1">
      <c r="A172" s="4"/>
      <c r="B172" s="4"/>
      <c r="C172" s="4"/>
      <c r="D172" s="4"/>
      <c r="E172" s="4"/>
      <c r="F172" s="4"/>
      <c r="G172" s="72"/>
      <c r="H172" s="4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</row>
    <row r="173" ht="12.75" customHeight="1">
      <c r="A173" s="4"/>
      <c r="B173" s="4"/>
      <c r="C173" s="4"/>
      <c r="D173" s="4"/>
      <c r="E173" s="4"/>
      <c r="F173" s="4"/>
      <c r="G173" s="72"/>
      <c r="H173" s="4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</row>
    <row r="174" ht="12.75" customHeight="1">
      <c r="A174" s="4"/>
      <c r="B174" s="4"/>
      <c r="C174" s="4"/>
      <c r="D174" s="4"/>
      <c r="E174" s="4"/>
      <c r="F174" s="4"/>
      <c r="G174" s="72"/>
      <c r="H174" s="4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</row>
    <row r="175" ht="12.75" customHeight="1">
      <c r="A175" s="4"/>
      <c r="B175" s="4"/>
      <c r="C175" s="4"/>
      <c r="D175" s="4"/>
      <c r="E175" s="4"/>
      <c r="F175" s="4"/>
      <c r="G175" s="72"/>
      <c r="H175" s="4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</row>
    <row r="176" ht="12.75" customHeight="1">
      <c r="A176" s="4"/>
      <c r="B176" s="4"/>
      <c r="C176" s="4"/>
      <c r="D176" s="4"/>
      <c r="E176" s="4"/>
      <c r="F176" s="4"/>
      <c r="G176" s="72"/>
      <c r="H176" s="4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</row>
    <row r="177" ht="12.75" customHeight="1">
      <c r="A177" s="4"/>
      <c r="B177" s="4"/>
      <c r="C177" s="4"/>
      <c r="D177" s="4"/>
      <c r="E177" s="4"/>
      <c r="F177" s="4"/>
      <c r="G177" s="72"/>
      <c r="H177" s="4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</row>
    <row r="178" ht="12.75" customHeight="1">
      <c r="A178" s="4"/>
      <c r="B178" s="4"/>
      <c r="C178" s="4"/>
      <c r="D178" s="4"/>
      <c r="E178" s="4"/>
      <c r="F178" s="4"/>
      <c r="G178" s="72"/>
      <c r="H178" s="4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</row>
    <row r="179" ht="12.75" customHeight="1">
      <c r="A179" s="4"/>
      <c r="B179" s="4"/>
      <c r="C179" s="4"/>
      <c r="D179" s="4"/>
      <c r="E179" s="4"/>
      <c r="F179" s="4"/>
      <c r="G179" s="72"/>
      <c r="H179" s="4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</row>
    <row r="180" ht="12.75" customHeight="1">
      <c r="A180" s="4"/>
      <c r="B180" s="4"/>
      <c r="C180" s="4"/>
      <c r="D180" s="4"/>
      <c r="E180" s="4"/>
      <c r="F180" s="4"/>
      <c r="G180" s="72"/>
      <c r="H180" s="4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</row>
    <row r="181" ht="12.75" customHeight="1">
      <c r="A181" s="4"/>
      <c r="B181" s="4"/>
      <c r="C181" s="4"/>
      <c r="D181" s="4"/>
      <c r="E181" s="4"/>
      <c r="F181" s="4"/>
      <c r="G181" s="72"/>
      <c r="H181" s="4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</row>
    <row r="182" ht="12.75" customHeight="1">
      <c r="A182" s="4"/>
      <c r="B182" s="4"/>
      <c r="C182" s="4"/>
      <c r="D182" s="4"/>
      <c r="E182" s="4"/>
      <c r="F182" s="4"/>
      <c r="G182" s="72"/>
      <c r="H182" s="4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</row>
    <row r="183" ht="12.75" customHeight="1">
      <c r="A183" s="4"/>
      <c r="B183" s="4"/>
      <c r="C183" s="4"/>
      <c r="D183" s="4"/>
      <c r="E183" s="4"/>
      <c r="F183" s="4"/>
      <c r="G183" s="72"/>
      <c r="H183" s="4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</row>
    <row r="184" ht="12.75" customHeight="1">
      <c r="A184" s="4"/>
      <c r="B184" s="4"/>
      <c r="C184" s="4"/>
      <c r="D184" s="4"/>
      <c r="E184" s="4"/>
      <c r="F184" s="4"/>
      <c r="G184" s="72"/>
      <c r="H184" s="4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</row>
    <row r="185" ht="12.75" customHeight="1">
      <c r="A185" s="4"/>
      <c r="B185" s="4"/>
      <c r="C185" s="4"/>
      <c r="D185" s="4"/>
      <c r="E185" s="4"/>
      <c r="F185" s="4"/>
      <c r="G185" s="72"/>
      <c r="H185" s="4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</row>
    <row r="186" ht="12.75" customHeight="1">
      <c r="A186" s="4"/>
      <c r="B186" s="4"/>
      <c r="C186" s="4"/>
      <c r="D186" s="4"/>
      <c r="E186" s="4"/>
      <c r="F186" s="4"/>
      <c r="G186" s="72"/>
      <c r="H186" s="4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</row>
    <row r="187" ht="12.75" customHeight="1">
      <c r="A187" s="4"/>
      <c r="B187" s="4"/>
      <c r="C187" s="4"/>
      <c r="D187" s="4"/>
      <c r="E187" s="4"/>
      <c r="F187" s="4"/>
      <c r="G187" s="72"/>
      <c r="H187" s="4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</row>
    <row r="188" ht="12.75" customHeight="1">
      <c r="A188" s="4"/>
      <c r="B188" s="4"/>
      <c r="C188" s="4"/>
      <c r="D188" s="4"/>
      <c r="E188" s="4"/>
      <c r="F188" s="4"/>
      <c r="G188" s="72"/>
      <c r="H188" s="4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</row>
    <row r="189" ht="12.75" customHeight="1">
      <c r="A189" s="4"/>
      <c r="B189" s="4"/>
      <c r="C189" s="4"/>
      <c r="D189" s="4"/>
      <c r="E189" s="4"/>
      <c r="F189" s="4"/>
      <c r="G189" s="72"/>
      <c r="H189" s="4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</row>
    <row r="190" ht="12.75" customHeight="1">
      <c r="A190" s="4"/>
      <c r="B190" s="4"/>
      <c r="C190" s="4"/>
      <c r="D190" s="4"/>
      <c r="E190" s="4"/>
      <c r="F190" s="4"/>
      <c r="G190" s="72"/>
      <c r="H190" s="4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</row>
    <row r="191" ht="12.75" customHeight="1">
      <c r="A191" s="4"/>
      <c r="B191" s="4"/>
      <c r="C191" s="4"/>
      <c r="D191" s="4"/>
      <c r="E191" s="4"/>
      <c r="F191" s="4"/>
      <c r="G191" s="72"/>
      <c r="H191" s="4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</row>
    <row r="192" ht="12.75" customHeight="1">
      <c r="A192" s="4"/>
      <c r="B192" s="4"/>
      <c r="C192" s="4"/>
      <c r="D192" s="4"/>
      <c r="E192" s="4"/>
      <c r="F192" s="4"/>
      <c r="G192" s="72"/>
      <c r="H192" s="4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</row>
    <row r="193" ht="12.75" customHeight="1">
      <c r="A193" s="4"/>
      <c r="B193" s="4"/>
      <c r="C193" s="4"/>
      <c r="D193" s="4"/>
      <c r="E193" s="4"/>
      <c r="F193" s="4"/>
      <c r="G193" s="72"/>
      <c r="H193" s="4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</row>
    <row r="194" ht="12.75" customHeight="1">
      <c r="A194" s="4"/>
      <c r="B194" s="4"/>
      <c r="C194" s="4"/>
      <c r="D194" s="4"/>
      <c r="E194" s="4"/>
      <c r="F194" s="4"/>
      <c r="G194" s="72"/>
      <c r="H194" s="4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</row>
    <row r="195" ht="12.75" customHeight="1">
      <c r="A195" s="4"/>
      <c r="B195" s="4"/>
      <c r="C195" s="4"/>
      <c r="D195" s="4"/>
      <c r="E195" s="4"/>
      <c r="F195" s="4"/>
      <c r="G195" s="72"/>
      <c r="H195" s="4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</row>
    <row r="196" ht="12.75" customHeight="1">
      <c r="A196" s="4"/>
      <c r="B196" s="4"/>
      <c r="C196" s="4"/>
      <c r="D196" s="4"/>
      <c r="E196" s="4"/>
      <c r="F196" s="4"/>
      <c r="G196" s="72"/>
      <c r="H196" s="4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</row>
    <row r="197" ht="12.75" customHeight="1">
      <c r="A197" s="4"/>
      <c r="B197" s="4"/>
      <c r="C197" s="4"/>
      <c r="D197" s="4"/>
      <c r="E197" s="4"/>
      <c r="F197" s="4"/>
      <c r="G197" s="72"/>
      <c r="H197" s="4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</row>
    <row r="198" ht="12.75" customHeight="1">
      <c r="A198" s="4"/>
      <c r="B198" s="4"/>
      <c r="C198" s="4"/>
      <c r="D198" s="4"/>
      <c r="E198" s="4"/>
      <c r="F198" s="4"/>
      <c r="G198" s="72"/>
      <c r="H198" s="4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</row>
    <row r="199" ht="12.75" customHeight="1">
      <c r="A199" s="4"/>
      <c r="B199" s="4"/>
      <c r="C199" s="4"/>
      <c r="D199" s="4"/>
      <c r="E199" s="4"/>
      <c r="F199" s="4"/>
      <c r="G199" s="72"/>
      <c r="H199" s="4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</row>
    <row r="200" ht="12.75" customHeight="1">
      <c r="A200" s="4"/>
      <c r="B200" s="4"/>
      <c r="C200" s="4"/>
      <c r="D200" s="4"/>
      <c r="E200" s="4"/>
      <c r="F200" s="4"/>
      <c r="G200" s="72"/>
      <c r="H200" s="4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</row>
    <row r="201" ht="12.75" customHeight="1">
      <c r="A201" s="4"/>
      <c r="B201" s="4"/>
      <c r="C201" s="4"/>
      <c r="D201" s="4"/>
      <c r="E201" s="4"/>
      <c r="F201" s="4"/>
      <c r="G201" s="72"/>
      <c r="H201" s="4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</row>
    <row r="202" ht="12.75" customHeight="1">
      <c r="A202" s="4"/>
      <c r="B202" s="4"/>
      <c r="C202" s="4"/>
      <c r="D202" s="4"/>
      <c r="E202" s="4"/>
      <c r="F202" s="4"/>
      <c r="G202" s="72"/>
      <c r="H202" s="4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</row>
    <row r="203" ht="12.75" customHeight="1">
      <c r="A203" s="4"/>
      <c r="B203" s="4"/>
      <c r="C203" s="4"/>
      <c r="D203" s="4"/>
      <c r="E203" s="4"/>
      <c r="F203" s="4"/>
      <c r="G203" s="72"/>
      <c r="H203" s="4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</row>
    <row r="204" ht="12.75" customHeight="1">
      <c r="A204" s="4"/>
      <c r="B204" s="4"/>
      <c r="C204" s="4"/>
      <c r="D204" s="4"/>
      <c r="E204" s="4"/>
      <c r="F204" s="4"/>
      <c r="G204" s="72"/>
      <c r="H204" s="4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</row>
    <row r="205" ht="12.75" customHeight="1">
      <c r="A205" s="4"/>
      <c r="B205" s="4"/>
      <c r="C205" s="4"/>
      <c r="D205" s="4"/>
      <c r="E205" s="4"/>
      <c r="F205" s="4"/>
      <c r="G205" s="72"/>
      <c r="H205" s="4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</row>
    <row r="206" ht="12.75" customHeight="1">
      <c r="A206" s="4"/>
      <c r="B206" s="4"/>
      <c r="C206" s="4"/>
      <c r="D206" s="4"/>
      <c r="E206" s="4"/>
      <c r="F206" s="4"/>
      <c r="G206" s="72"/>
      <c r="H206" s="4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</row>
    <row r="207" ht="12.75" customHeight="1">
      <c r="A207" s="4"/>
      <c r="B207" s="4"/>
      <c r="C207" s="4"/>
      <c r="D207" s="4"/>
      <c r="E207" s="4"/>
      <c r="F207" s="4"/>
      <c r="G207" s="72"/>
      <c r="H207" s="4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</row>
    <row r="208" ht="12.75" customHeight="1">
      <c r="A208" s="4"/>
      <c r="B208" s="4"/>
      <c r="C208" s="4"/>
      <c r="D208" s="4"/>
      <c r="E208" s="4"/>
      <c r="F208" s="4"/>
      <c r="G208" s="72"/>
      <c r="H208" s="4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</row>
    <row r="209" ht="12.75" customHeight="1">
      <c r="A209" s="4"/>
      <c r="B209" s="4"/>
      <c r="C209" s="4"/>
      <c r="D209" s="4"/>
      <c r="E209" s="4"/>
      <c r="F209" s="4"/>
      <c r="G209" s="72"/>
      <c r="H209" s="4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</row>
    <row r="210" ht="12.75" customHeight="1">
      <c r="A210" s="4"/>
      <c r="B210" s="4"/>
      <c r="C210" s="4"/>
      <c r="D210" s="4"/>
      <c r="E210" s="4"/>
      <c r="F210" s="4"/>
      <c r="G210" s="72"/>
      <c r="H210" s="4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</row>
    <row r="211" ht="12.75" customHeight="1">
      <c r="A211" s="4"/>
      <c r="B211" s="4"/>
      <c r="C211" s="4"/>
      <c r="D211" s="4"/>
      <c r="E211" s="4"/>
      <c r="F211" s="4"/>
      <c r="G211" s="72"/>
      <c r="H211" s="4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</row>
    <row r="212" ht="12.75" customHeight="1">
      <c r="A212" s="4"/>
      <c r="B212" s="4"/>
      <c r="C212" s="4"/>
      <c r="D212" s="4"/>
      <c r="E212" s="4"/>
      <c r="F212" s="4"/>
      <c r="G212" s="72"/>
      <c r="H212" s="4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</row>
    <row r="213" ht="12.75" customHeight="1">
      <c r="A213" s="4"/>
      <c r="B213" s="4"/>
      <c r="C213" s="4"/>
      <c r="D213" s="4"/>
      <c r="E213" s="4"/>
      <c r="F213" s="4"/>
      <c r="G213" s="72"/>
      <c r="H213" s="4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</row>
    <row r="214" ht="12.75" customHeight="1">
      <c r="A214" s="4"/>
      <c r="B214" s="4"/>
      <c r="C214" s="4"/>
      <c r="D214" s="4"/>
      <c r="E214" s="4"/>
      <c r="F214" s="4"/>
      <c r="G214" s="72"/>
      <c r="H214" s="4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</row>
    <row r="215" ht="12.75" customHeight="1">
      <c r="A215" s="4"/>
      <c r="B215" s="4"/>
      <c r="C215" s="4"/>
      <c r="D215" s="4"/>
      <c r="E215" s="4"/>
      <c r="F215" s="4"/>
      <c r="G215" s="72"/>
      <c r="H215" s="4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</row>
    <row r="216" ht="12.75" customHeight="1">
      <c r="A216" s="4"/>
      <c r="B216" s="4"/>
      <c r="C216" s="4"/>
      <c r="D216" s="4"/>
      <c r="E216" s="4"/>
      <c r="F216" s="4"/>
      <c r="G216" s="72"/>
      <c r="H216" s="4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</row>
    <row r="217" ht="12.75" customHeight="1">
      <c r="A217" s="4"/>
      <c r="B217" s="4"/>
      <c r="C217" s="4"/>
      <c r="D217" s="4"/>
      <c r="E217" s="4"/>
      <c r="F217" s="4"/>
      <c r="G217" s="72"/>
      <c r="H217" s="4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</row>
    <row r="218" ht="12.75" customHeight="1">
      <c r="A218" s="4"/>
      <c r="B218" s="4"/>
      <c r="C218" s="4"/>
      <c r="D218" s="4"/>
      <c r="E218" s="4"/>
      <c r="F218" s="4"/>
      <c r="G218" s="72"/>
      <c r="H218" s="4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</row>
    <row r="219" ht="12.75" customHeight="1">
      <c r="A219" s="4"/>
      <c r="B219" s="4"/>
      <c r="C219" s="4"/>
      <c r="D219" s="4"/>
      <c r="E219" s="4"/>
      <c r="F219" s="4"/>
      <c r="G219" s="72"/>
      <c r="H219" s="4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</row>
    <row r="220" ht="12.75" customHeight="1">
      <c r="A220" s="4"/>
      <c r="B220" s="4"/>
      <c r="C220" s="4"/>
      <c r="D220" s="4"/>
      <c r="E220" s="4"/>
      <c r="F220" s="4"/>
      <c r="G220" s="72"/>
      <c r="H220" s="4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Y$948"/>
  <printOptions/>
  <pageMargins bottom="0.787401575" footer="0.0" header="0.0" left="0.511811024" right="0.511811024" top="0.7874015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2.57"/>
    <col customWidth="1" hidden="1" min="2" max="2" width="42.86"/>
    <col customWidth="1" hidden="1" min="3" max="3" width="31.14"/>
    <col customWidth="1" min="4" max="4" width="14.0"/>
    <col customWidth="1" min="5" max="5" width="29.0"/>
    <col customWidth="1" min="6" max="6" width="15.86"/>
    <col customWidth="1" min="7" max="7" width="18.29"/>
    <col customWidth="1" min="8" max="8" width="25.71"/>
    <col customWidth="1" min="9" max="9" width="11.43"/>
    <col customWidth="1" min="10" max="22" width="15.86"/>
    <col customWidth="1" min="23" max="23" width="28.43"/>
    <col customWidth="1" min="24" max="24" width="22.86"/>
  </cols>
  <sheetData>
    <row r="1" ht="12.75" customHeight="1">
      <c r="A1" s="51" t="s">
        <v>222</v>
      </c>
      <c r="B1" s="51" t="s">
        <v>223</v>
      </c>
      <c r="C1" s="51" t="s">
        <v>224</v>
      </c>
      <c r="D1" s="52" t="s">
        <v>4</v>
      </c>
      <c r="E1" s="52" t="s">
        <v>225</v>
      </c>
      <c r="F1" s="52" t="s">
        <v>226</v>
      </c>
      <c r="G1" s="54" t="s">
        <v>231</v>
      </c>
      <c r="H1" s="52" t="s">
        <v>227</v>
      </c>
      <c r="I1" s="53" t="s">
        <v>228</v>
      </c>
      <c r="J1" s="54" t="s">
        <v>229</v>
      </c>
      <c r="K1" s="95">
        <v>46023.0</v>
      </c>
      <c r="L1" s="95">
        <v>46054.0</v>
      </c>
      <c r="M1" s="95">
        <v>46082.0</v>
      </c>
      <c r="N1" s="95">
        <v>46113.0</v>
      </c>
      <c r="O1" s="95">
        <v>46143.0</v>
      </c>
      <c r="P1" s="95">
        <v>46174.0</v>
      </c>
      <c r="Q1" s="95">
        <v>46204.0</v>
      </c>
      <c r="R1" s="95">
        <v>46235.0</v>
      </c>
      <c r="S1" s="95">
        <v>46266.0</v>
      </c>
      <c r="T1" s="95">
        <v>46296.0</v>
      </c>
      <c r="U1" s="95">
        <v>46327.0</v>
      </c>
      <c r="V1" s="95">
        <v>46357.0</v>
      </c>
      <c r="W1" s="54" t="s">
        <v>230</v>
      </c>
      <c r="X1" s="54" t="s">
        <v>233</v>
      </c>
    </row>
    <row r="2" ht="12.75" customHeight="1">
      <c r="A2" s="60" t="s">
        <v>32</v>
      </c>
      <c r="B2" s="61" t="s">
        <v>192</v>
      </c>
      <c r="C2" s="61" t="s">
        <v>193</v>
      </c>
      <c r="D2" s="62" t="s">
        <v>31</v>
      </c>
      <c r="E2" s="62" t="s">
        <v>114</v>
      </c>
      <c r="F2" s="62" t="s">
        <v>28</v>
      </c>
      <c r="G2" s="63" t="s">
        <v>14</v>
      </c>
      <c r="H2" s="62" t="s">
        <v>91</v>
      </c>
      <c r="I2" s="63">
        <v>289.35</v>
      </c>
      <c r="J2" s="63">
        <f t="shared" ref="J2:J3" si="2">I2*176</f>
        <v>50925.6</v>
      </c>
      <c r="K2" s="63">
        <f t="shared" ref="K2:V2" si="1">$J2</f>
        <v>50925.6</v>
      </c>
      <c r="L2" s="63">
        <f t="shared" si="1"/>
        <v>50925.6</v>
      </c>
      <c r="M2" s="63">
        <f t="shared" si="1"/>
        <v>50925.6</v>
      </c>
      <c r="N2" s="63">
        <f t="shared" si="1"/>
        <v>50925.6</v>
      </c>
      <c r="O2" s="63">
        <f t="shared" si="1"/>
        <v>50925.6</v>
      </c>
      <c r="P2" s="63">
        <f t="shared" si="1"/>
        <v>50925.6</v>
      </c>
      <c r="Q2" s="63">
        <f t="shared" si="1"/>
        <v>50925.6</v>
      </c>
      <c r="R2" s="63">
        <f t="shared" si="1"/>
        <v>50925.6</v>
      </c>
      <c r="S2" s="63">
        <f t="shared" si="1"/>
        <v>50925.6</v>
      </c>
      <c r="T2" s="63">
        <f t="shared" si="1"/>
        <v>50925.6</v>
      </c>
      <c r="U2" s="63">
        <f t="shared" si="1"/>
        <v>50925.6</v>
      </c>
      <c r="V2" s="63">
        <f t="shared" si="1"/>
        <v>50925.6</v>
      </c>
      <c r="W2" s="63">
        <f t="shared" ref="W2:W3" si="4">SUM(K2:V2)</f>
        <v>611107.2</v>
      </c>
      <c r="X2" s="64">
        <f t="shared" ref="X2:X3" si="5">J2*11</f>
        <v>560181.6</v>
      </c>
    </row>
    <row r="3" ht="12.75" customHeight="1">
      <c r="A3" s="60" t="s">
        <v>21</v>
      </c>
      <c r="B3" s="61" t="s">
        <v>178</v>
      </c>
      <c r="C3" s="61" t="s">
        <v>179</v>
      </c>
      <c r="D3" s="62" t="s">
        <v>20</v>
      </c>
      <c r="E3" s="62" t="s">
        <v>119</v>
      </c>
      <c r="F3" s="62" t="s">
        <v>19</v>
      </c>
      <c r="G3" s="63" t="s">
        <v>14</v>
      </c>
      <c r="H3" s="62" t="s">
        <v>91</v>
      </c>
      <c r="I3" s="63">
        <v>228.58</v>
      </c>
      <c r="J3" s="63">
        <f t="shared" si="2"/>
        <v>40230.08</v>
      </c>
      <c r="K3" s="63">
        <f t="shared" ref="K3:V3" si="3">$J3</f>
        <v>40230.08</v>
      </c>
      <c r="L3" s="63">
        <f t="shared" si="3"/>
        <v>40230.08</v>
      </c>
      <c r="M3" s="63">
        <f t="shared" si="3"/>
        <v>40230.08</v>
      </c>
      <c r="N3" s="63">
        <f t="shared" si="3"/>
        <v>40230.08</v>
      </c>
      <c r="O3" s="63">
        <f t="shared" si="3"/>
        <v>40230.08</v>
      </c>
      <c r="P3" s="63">
        <f t="shared" si="3"/>
        <v>40230.08</v>
      </c>
      <c r="Q3" s="63">
        <f t="shared" si="3"/>
        <v>40230.08</v>
      </c>
      <c r="R3" s="63">
        <f t="shared" si="3"/>
        <v>40230.08</v>
      </c>
      <c r="S3" s="63">
        <f t="shared" si="3"/>
        <v>40230.08</v>
      </c>
      <c r="T3" s="63">
        <f t="shared" si="3"/>
        <v>40230.08</v>
      </c>
      <c r="U3" s="63">
        <f t="shared" si="3"/>
        <v>40230.08</v>
      </c>
      <c r="V3" s="63">
        <f t="shared" si="3"/>
        <v>40230.08</v>
      </c>
      <c r="W3" s="63">
        <f t="shared" si="4"/>
        <v>482760.96</v>
      </c>
      <c r="X3" s="64">
        <f t="shared" si="5"/>
        <v>442530.88</v>
      </c>
    </row>
    <row r="6" ht="12.75" customHeight="1">
      <c r="A6" s="77"/>
      <c r="B6" s="78"/>
      <c r="C6" s="78"/>
      <c r="D6" s="78"/>
      <c r="E6" s="78"/>
      <c r="F6" s="78"/>
      <c r="G6" s="79"/>
      <c r="H6" s="78"/>
      <c r="I6" s="79"/>
      <c r="J6" s="96" t="str">
        <f t="shared" ref="J6:X6" si="6">SUM(J2:J19)</f>
        <v>#REF!</v>
      </c>
      <c r="K6" s="96" t="str">
        <f t="shared" si="6"/>
        <v>#REF!</v>
      </c>
      <c r="L6" s="96" t="str">
        <f t="shared" si="6"/>
        <v>#REF!</v>
      </c>
      <c r="M6" s="96" t="str">
        <f t="shared" si="6"/>
        <v>#REF!</v>
      </c>
      <c r="N6" s="96" t="str">
        <f t="shared" si="6"/>
        <v>#REF!</v>
      </c>
      <c r="O6" s="96" t="str">
        <f t="shared" si="6"/>
        <v>#REF!</v>
      </c>
      <c r="P6" s="96" t="str">
        <f t="shared" si="6"/>
        <v>#REF!</v>
      </c>
      <c r="Q6" s="96" t="str">
        <f t="shared" si="6"/>
        <v>#REF!</v>
      </c>
      <c r="R6" s="96" t="str">
        <f t="shared" si="6"/>
        <v>#REF!</v>
      </c>
      <c r="S6" s="96" t="str">
        <f t="shared" si="6"/>
        <v>#REF!</v>
      </c>
      <c r="T6" s="96" t="str">
        <f t="shared" si="6"/>
        <v>#REF!</v>
      </c>
      <c r="U6" s="96" t="str">
        <f t="shared" si="6"/>
        <v>#REF!</v>
      </c>
      <c r="V6" s="96" t="str">
        <f t="shared" si="6"/>
        <v>#REF!</v>
      </c>
      <c r="W6" s="96" t="str">
        <f t="shared" si="6"/>
        <v>#REF!</v>
      </c>
      <c r="X6" s="97" t="str">
        <f t="shared" si="6"/>
        <v>#REF!</v>
      </c>
    </row>
    <row r="7" ht="12.75" customHeight="1">
      <c r="A7" s="4"/>
      <c r="B7" s="4"/>
      <c r="C7" s="4"/>
      <c r="D7" s="4"/>
      <c r="E7" s="4"/>
      <c r="F7" s="4"/>
      <c r="G7" s="72"/>
      <c r="H7" s="4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</row>
    <row r="8" ht="12.75" customHeight="1">
      <c r="A8" s="4"/>
      <c r="B8" s="4"/>
      <c r="C8" s="4"/>
      <c r="D8" s="4"/>
      <c r="E8" s="4"/>
      <c r="F8" s="4"/>
      <c r="G8" s="72"/>
      <c r="H8" s="4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</row>
    <row r="9" ht="12.75" customHeight="1">
      <c r="A9" s="55" t="s">
        <v>38</v>
      </c>
      <c r="B9" s="56" t="s">
        <v>205</v>
      </c>
      <c r="C9" s="56" t="s">
        <v>206</v>
      </c>
      <c r="D9" s="57" t="s">
        <v>37</v>
      </c>
      <c r="E9" s="57" t="s">
        <v>120</v>
      </c>
      <c r="F9" s="57" t="s">
        <v>19</v>
      </c>
      <c r="G9" s="58" t="s">
        <v>10</v>
      </c>
      <c r="H9" s="57" t="s">
        <v>207</v>
      </c>
      <c r="I9" s="58">
        <v>213.87</v>
      </c>
      <c r="J9" s="58">
        <f t="shared" ref="J9:J11" si="8">I9*176</f>
        <v>37641.12</v>
      </c>
      <c r="K9" s="58">
        <f t="shared" ref="K9:O9" si="7">$J9</f>
        <v>37641.12</v>
      </c>
      <c r="L9" s="58">
        <f t="shared" si="7"/>
        <v>37641.12</v>
      </c>
      <c r="M9" s="58">
        <f t="shared" si="7"/>
        <v>37641.12</v>
      </c>
      <c r="N9" s="58">
        <f t="shared" si="7"/>
        <v>37641.12</v>
      </c>
      <c r="O9" s="58">
        <f t="shared" si="7"/>
        <v>37641.12</v>
      </c>
      <c r="P9" s="58"/>
      <c r="Q9" s="58"/>
      <c r="R9" s="58"/>
      <c r="S9" s="58"/>
      <c r="T9" s="58"/>
      <c r="U9" s="58"/>
      <c r="V9" s="58"/>
      <c r="W9" s="58">
        <f t="shared" ref="W9:W12" si="10">SUM(K9:V9)</f>
        <v>188205.6</v>
      </c>
      <c r="X9" s="59">
        <f t="shared" ref="X9:X12" si="11">J9*11</f>
        <v>414052.32</v>
      </c>
    </row>
    <row r="10" ht="12.75" customHeight="1">
      <c r="A10" s="60" t="s">
        <v>40</v>
      </c>
      <c r="B10" s="61" t="s">
        <v>208</v>
      </c>
      <c r="C10" s="61" t="s">
        <v>209</v>
      </c>
      <c r="D10" s="62" t="s">
        <v>39</v>
      </c>
      <c r="E10" s="62" t="s">
        <v>111</v>
      </c>
      <c r="F10" s="62" t="s">
        <v>19</v>
      </c>
      <c r="G10" s="63" t="s">
        <v>10</v>
      </c>
      <c r="H10" s="62" t="s">
        <v>207</v>
      </c>
      <c r="I10" s="63">
        <v>213.87</v>
      </c>
      <c r="J10" s="63">
        <f t="shared" si="8"/>
        <v>37641.12</v>
      </c>
      <c r="K10" s="63">
        <f t="shared" ref="K10:V10" si="9">$J10</f>
        <v>37641.12</v>
      </c>
      <c r="L10" s="63">
        <f t="shared" si="9"/>
        <v>37641.12</v>
      </c>
      <c r="M10" s="63">
        <f t="shared" si="9"/>
        <v>37641.12</v>
      </c>
      <c r="N10" s="63">
        <f t="shared" si="9"/>
        <v>37641.12</v>
      </c>
      <c r="O10" s="63">
        <f t="shared" si="9"/>
        <v>37641.12</v>
      </c>
      <c r="P10" s="63">
        <f t="shared" si="9"/>
        <v>37641.12</v>
      </c>
      <c r="Q10" s="63">
        <f t="shared" si="9"/>
        <v>37641.12</v>
      </c>
      <c r="R10" s="63">
        <f t="shared" si="9"/>
        <v>37641.12</v>
      </c>
      <c r="S10" s="63">
        <f t="shared" si="9"/>
        <v>37641.12</v>
      </c>
      <c r="T10" s="63">
        <f t="shared" si="9"/>
        <v>37641.12</v>
      </c>
      <c r="U10" s="63">
        <f t="shared" si="9"/>
        <v>37641.12</v>
      </c>
      <c r="V10" s="63">
        <f t="shared" si="9"/>
        <v>37641.12</v>
      </c>
      <c r="W10" s="63">
        <f t="shared" si="10"/>
        <v>451693.44</v>
      </c>
      <c r="X10" s="64">
        <f t="shared" si="11"/>
        <v>414052.32</v>
      </c>
    </row>
    <row r="11" ht="12.75" customHeight="1">
      <c r="A11" s="60" t="s">
        <v>42</v>
      </c>
      <c r="B11" s="61" t="s">
        <v>210</v>
      </c>
      <c r="C11" s="61" t="s">
        <v>211</v>
      </c>
      <c r="D11" s="62" t="s">
        <v>41</v>
      </c>
      <c r="E11" s="76" t="s">
        <v>133</v>
      </c>
      <c r="F11" s="62" t="s">
        <v>19</v>
      </c>
      <c r="G11" s="63" t="s">
        <v>10</v>
      </c>
      <c r="H11" s="62" t="s">
        <v>207</v>
      </c>
      <c r="I11" s="63">
        <v>191.36</v>
      </c>
      <c r="J11" s="63">
        <f t="shared" si="8"/>
        <v>33679.36</v>
      </c>
      <c r="K11" s="63">
        <f t="shared" ref="K11:V11" si="12">$J11</f>
        <v>33679.36</v>
      </c>
      <c r="L11" s="63">
        <f t="shared" si="12"/>
        <v>33679.36</v>
      </c>
      <c r="M11" s="63">
        <f t="shared" si="12"/>
        <v>33679.36</v>
      </c>
      <c r="N11" s="63">
        <f t="shared" si="12"/>
        <v>33679.36</v>
      </c>
      <c r="O11" s="63">
        <f t="shared" si="12"/>
        <v>33679.36</v>
      </c>
      <c r="P11" s="63">
        <f t="shared" si="12"/>
        <v>33679.36</v>
      </c>
      <c r="Q11" s="63">
        <f t="shared" si="12"/>
        <v>33679.36</v>
      </c>
      <c r="R11" s="63">
        <f t="shared" si="12"/>
        <v>33679.36</v>
      </c>
      <c r="S11" s="63">
        <f t="shared" si="12"/>
        <v>33679.36</v>
      </c>
      <c r="T11" s="63">
        <f t="shared" si="12"/>
        <v>33679.36</v>
      </c>
      <c r="U11" s="63">
        <f t="shared" si="12"/>
        <v>33679.36</v>
      </c>
      <c r="V11" s="63">
        <f t="shared" si="12"/>
        <v>33679.36</v>
      </c>
      <c r="W11" s="63">
        <f t="shared" si="10"/>
        <v>404152.32</v>
      </c>
      <c r="X11" s="64">
        <f t="shared" si="11"/>
        <v>370472.96</v>
      </c>
    </row>
    <row r="12" ht="12.75" customHeight="1">
      <c r="A12" s="73" t="s">
        <v>232</v>
      </c>
      <c r="B12" s="4"/>
      <c r="C12" s="4"/>
      <c r="D12" s="62" t="s">
        <v>43</v>
      </c>
      <c r="E12" s="62" t="s">
        <v>111</v>
      </c>
      <c r="F12" s="62" t="s">
        <v>19</v>
      </c>
      <c r="G12" s="63" t="s">
        <v>10</v>
      </c>
      <c r="H12" s="62" t="s">
        <v>207</v>
      </c>
      <c r="I12" s="63">
        <v>213.87</v>
      </c>
      <c r="J12" s="63">
        <v>40000.0</v>
      </c>
      <c r="K12" s="63">
        <f t="shared" ref="K12:V12" si="13">$J12</f>
        <v>40000</v>
      </c>
      <c r="L12" s="63">
        <f t="shared" si="13"/>
        <v>40000</v>
      </c>
      <c r="M12" s="63">
        <f t="shared" si="13"/>
        <v>40000</v>
      </c>
      <c r="N12" s="63">
        <f t="shared" si="13"/>
        <v>40000</v>
      </c>
      <c r="O12" s="63">
        <f t="shared" si="13"/>
        <v>40000</v>
      </c>
      <c r="P12" s="63">
        <f t="shared" si="13"/>
        <v>40000</v>
      </c>
      <c r="Q12" s="63">
        <f t="shared" si="13"/>
        <v>40000</v>
      </c>
      <c r="R12" s="63">
        <f t="shared" si="13"/>
        <v>40000</v>
      </c>
      <c r="S12" s="63">
        <f t="shared" si="13"/>
        <v>40000</v>
      </c>
      <c r="T12" s="63">
        <f t="shared" si="13"/>
        <v>40000</v>
      </c>
      <c r="U12" s="63">
        <f t="shared" si="13"/>
        <v>40000</v>
      </c>
      <c r="V12" s="63">
        <f t="shared" si="13"/>
        <v>40000</v>
      </c>
      <c r="W12" s="63">
        <f t="shared" si="10"/>
        <v>480000</v>
      </c>
      <c r="X12" s="64">
        <f t="shared" si="11"/>
        <v>440000</v>
      </c>
    </row>
    <row r="13" ht="12.75" customHeight="1">
      <c r="A13" s="77"/>
      <c r="B13" s="78"/>
      <c r="C13" s="78"/>
      <c r="D13" s="78"/>
      <c r="E13" s="78"/>
      <c r="F13" s="78"/>
      <c r="G13" s="79"/>
      <c r="H13" s="78"/>
      <c r="I13" s="79"/>
      <c r="J13" s="96">
        <f t="shared" ref="J13:X13" si="14">SUM(J9:J12)</f>
        <v>148961.6</v>
      </c>
      <c r="K13" s="96">
        <f t="shared" si="14"/>
        <v>148961.6</v>
      </c>
      <c r="L13" s="96">
        <f t="shared" si="14"/>
        <v>148961.6</v>
      </c>
      <c r="M13" s="96">
        <f t="shared" si="14"/>
        <v>148961.6</v>
      </c>
      <c r="N13" s="96">
        <f t="shared" si="14"/>
        <v>148961.6</v>
      </c>
      <c r="O13" s="96">
        <f t="shared" si="14"/>
        <v>148961.6</v>
      </c>
      <c r="P13" s="96">
        <f t="shared" si="14"/>
        <v>111320.48</v>
      </c>
      <c r="Q13" s="96">
        <f t="shared" si="14"/>
        <v>111320.48</v>
      </c>
      <c r="R13" s="96">
        <f t="shared" si="14"/>
        <v>111320.48</v>
      </c>
      <c r="S13" s="96">
        <f t="shared" si="14"/>
        <v>111320.48</v>
      </c>
      <c r="T13" s="96">
        <f t="shared" si="14"/>
        <v>111320.48</v>
      </c>
      <c r="U13" s="96">
        <f t="shared" si="14"/>
        <v>111320.48</v>
      </c>
      <c r="V13" s="96">
        <f t="shared" si="14"/>
        <v>111320.48</v>
      </c>
      <c r="W13" s="96">
        <f t="shared" si="14"/>
        <v>1524051.36</v>
      </c>
      <c r="X13" s="98">
        <f t="shared" si="14"/>
        <v>1638577.6</v>
      </c>
    </row>
    <row r="14" ht="12.75" customHeight="1">
      <c r="A14" s="4"/>
      <c r="B14" s="4"/>
      <c r="C14" s="4"/>
      <c r="D14" s="4"/>
      <c r="E14" s="4"/>
      <c r="F14" s="4"/>
      <c r="G14" s="72"/>
      <c r="H14" s="4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</row>
    <row r="15" ht="12.75" customHeight="1">
      <c r="A15" s="4"/>
      <c r="B15" s="4"/>
      <c r="C15" s="4"/>
      <c r="D15" s="4"/>
      <c r="E15" s="4"/>
      <c r="F15" s="4"/>
      <c r="G15" s="72"/>
      <c r="H15" s="4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</row>
    <row r="16" ht="12.75" customHeight="1">
      <c r="A16" s="4"/>
      <c r="B16" s="4"/>
      <c r="C16" s="4"/>
      <c r="D16" s="4"/>
      <c r="E16" s="4"/>
      <c r="F16" s="4"/>
      <c r="G16" s="72"/>
      <c r="H16" s="4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</row>
    <row r="17" ht="12.75" customHeight="1">
      <c r="A17" s="4"/>
      <c r="B17" s="4"/>
      <c r="C17" s="4"/>
      <c r="D17" s="4"/>
      <c r="E17" s="4"/>
      <c r="F17" s="4"/>
      <c r="G17" s="72"/>
      <c r="H17" s="4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8"/>
    </row>
    <row r="18" ht="12.75" customHeight="1">
      <c r="A18" s="61" t="s">
        <v>30</v>
      </c>
      <c r="B18" s="61" t="s">
        <v>186</v>
      </c>
      <c r="C18" s="61" t="s">
        <v>187</v>
      </c>
      <c r="D18" s="62" t="s">
        <v>29</v>
      </c>
      <c r="E18" s="62" t="s">
        <v>144</v>
      </c>
      <c r="F18" s="62" t="s">
        <v>28</v>
      </c>
      <c r="G18" s="63" t="s">
        <v>14</v>
      </c>
      <c r="H18" s="62" t="s">
        <v>91</v>
      </c>
      <c r="I18" s="100">
        <v>299.76</v>
      </c>
      <c r="J18" s="100">
        <f t="shared" ref="J18:J23" si="16">I18*176</f>
        <v>52757.76</v>
      </c>
      <c r="K18" s="100">
        <f t="shared" ref="K18:V18" si="15">$J18</f>
        <v>52757.76</v>
      </c>
      <c r="L18" s="100">
        <f t="shared" si="15"/>
        <v>52757.76</v>
      </c>
      <c r="M18" s="100">
        <f t="shared" si="15"/>
        <v>52757.76</v>
      </c>
      <c r="N18" s="101">
        <f t="shared" si="15"/>
        <v>52757.76</v>
      </c>
      <c r="O18" s="101">
        <f t="shared" si="15"/>
        <v>52757.76</v>
      </c>
      <c r="P18" s="101">
        <f t="shared" si="15"/>
        <v>52757.76</v>
      </c>
      <c r="Q18" s="101">
        <f t="shared" si="15"/>
        <v>52757.76</v>
      </c>
      <c r="R18" s="101">
        <f t="shared" si="15"/>
        <v>52757.76</v>
      </c>
      <c r="S18" s="101">
        <f t="shared" si="15"/>
        <v>52757.76</v>
      </c>
      <c r="T18" s="101">
        <f t="shared" si="15"/>
        <v>52757.76</v>
      </c>
      <c r="U18" s="101">
        <f t="shared" si="15"/>
        <v>52757.76</v>
      </c>
      <c r="V18" s="101">
        <f t="shared" si="15"/>
        <v>52757.76</v>
      </c>
      <c r="W18" s="101">
        <f t="shared" ref="W18:W23" si="18">SUM(K18:V18)</f>
        <v>633093.12</v>
      </c>
      <c r="X18" s="101"/>
      <c r="Y18" s="8"/>
    </row>
    <row r="19" ht="12.75" customHeight="1">
      <c r="A19" s="61" t="s">
        <v>36</v>
      </c>
      <c r="B19" s="61" t="s">
        <v>174</v>
      </c>
      <c r="C19" s="61" t="s">
        <v>175</v>
      </c>
      <c r="D19" s="62" t="s">
        <v>35</v>
      </c>
      <c r="E19" s="62" t="s">
        <v>156</v>
      </c>
      <c r="F19" s="62" t="s">
        <v>28</v>
      </c>
      <c r="G19" s="63" t="s">
        <v>14</v>
      </c>
      <c r="H19" s="62" t="s">
        <v>91</v>
      </c>
      <c r="I19" s="100">
        <v>193.74</v>
      </c>
      <c r="J19" s="100">
        <f t="shared" si="16"/>
        <v>34098.24</v>
      </c>
      <c r="K19" s="100">
        <f t="shared" ref="K19:V19" si="17">$J19</f>
        <v>34098.24</v>
      </c>
      <c r="L19" s="100">
        <f t="shared" si="17"/>
        <v>34098.24</v>
      </c>
      <c r="M19" s="100">
        <f t="shared" si="17"/>
        <v>34098.24</v>
      </c>
      <c r="N19" s="101">
        <f t="shared" si="17"/>
        <v>34098.24</v>
      </c>
      <c r="O19" s="101">
        <f t="shared" si="17"/>
        <v>34098.24</v>
      </c>
      <c r="P19" s="101">
        <f t="shared" si="17"/>
        <v>34098.24</v>
      </c>
      <c r="Q19" s="101">
        <f t="shared" si="17"/>
        <v>34098.24</v>
      </c>
      <c r="R19" s="101">
        <f t="shared" si="17"/>
        <v>34098.24</v>
      </c>
      <c r="S19" s="101">
        <f t="shared" si="17"/>
        <v>34098.24</v>
      </c>
      <c r="T19" s="101">
        <f t="shared" si="17"/>
        <v>34098.24</v>
      </c>
      <c r="U19" s="101">
        <f t="shared" si="17"/>
        <v>34098.24</v>
      </c>
      <c r="V19" s="101">
        <f t="shared" si="17"/>
        <v>34098.24</v>
      </c>
      <c r="W19" s="101">
        <f t="shared" si="18"/>
        <v>409178.88</v>
      </c>
      <c r="X19" s="101"/>
      <c r="Y19" s="8"/>
    </row>
    <row r="20" ht="12.75" customHeight="1">
      <c r="A20" s="61" t="s">
        <v>25</v>
      </c>
      <c r="B20" s="61" t="s">
        <v>182</v>
      </c>
      <c r="C20" s="61" t="s">
        <v>183</v>
      </c>
      <c r="D20" s="62" t="s">
        <v>24</v>
      </c>
      <c r="E20" s="62" t="s">
        <v>119</v>
      </c>
      <c r="F20" s="62" t="s">
        <v>19</v>
      </c>
      <c r="G20" s="63" t="s">
        <v>14</v>
      </c>
      <c r="H20" s="62" t="s">
        <v>91</v>
      </c>
      <c r="I20" s="100">
        <v>213.87</v>
      </c>
      <c r="J20" s="100">
        <f t="shared" si="16"/>
        <v>37641.12</v>
      </c>
      <c r="K20" s="100">
        <f t="shared" ref="K20:V20" si="19">$J20</f>
        <v>37641.12</v>
      </c>
      <c r="L20" s="100">
        <f t="shared" si="19"/>
        <v>37641.12</v>
      </c>
      <c r="M20" s="100">
        <f t="shared" si="19"/>
        <v>37641.12</v>
      </c>
      <c r="N20" s="101">
        <f t="shared" si="19"/>
        <v>37641.12</v>
      </c>
      <c r="O20" s="101">
        <f t="shared" si="19"/>
        <v>37641.12</v>
      </c>
      <c r="P20" s="101">
        <f t="shared" si="19"/>
        <v>37641.12</v>
      </c>
      <c r="Q20" s="101">
        <f t="shared" si="19"/>
        <v>37641.12</v>
      </c>
      <c r="R20" s="101">
        <f t="shared" si="19"/>
        <v>37641.12</v>
      </c>
      <c r="S20" s="101">
        <f t="shared" si="19"/>
        <v>37641.12</v>
      </c>
      <c r="T20" s="101">
        <f t="shared" si="19"/>
        <v>37641.12</v>
      </c>
      <c r="U20" s="101">
        <f t="shared" si="19"/>
        <v>37641.12</v>
      </c>
      <c r="V20" s="101">
        <f t="shared" si="19"/>
        <v>37641.12</v>
      </c>
      <c r="W20" s="101">
        <f t="shared" si="18"/>
        <v>451693.44</v>
      </c>
      <c r="X20" s="101"/>
      <c r="Y20" s="8"/>
    </row>
    <row r="21" ht="12.75" customHeight="1">
      <c r="A21" s="61" t="s">
        <v>34</v>
      </c>
      <c r="B21" s="61" t="s">
        <v>194</v>
      </c>
      <c r="C21" s="61" t="s">
        <v>195</v>
      </c>
      <c r="D21" s="62" t="s">
        <v>33</v>
      </c>
      <c r="E21" s="62" t="s">
        <v>119</v>
      </c>
      <c r="F21" s="62" t="s">
        <v>28</v>
      </c>
      <c r="G21" s="63" t="s">
        <v>14</v>
      </c>
      <c r="H21" s="62" t="s">
        <v>91</v>
      </c>
      <c r="I21" s="100">
        <v>202.62</v>
      </c>
      <c r="J21" s="100">
        <f t="shared" si="16"/>
        <v>35661.12</v>
      </c>
      <c r="K21" s="100">
        <f t="shared" ref="K21:V21" si="20">$J21</f>
        <v>35661.12</v>
      </c>
      <c r="L21" s="100">
        <f t="shared" si="20"/>
        <v>35661.12</v>
      </c>
      <c r="M21" s="100">
        <f t="shared" si="20"/>
        <v>35661.12</v>
      </c>
      <c r="N21" s="101">
        <f t="shared" si="20"/>
        <v>35661.12</v>
      </c>
      <c r="O21" s="101">
        <f t="shared" si="20"/>
        <v>35661.12</v>
      </c>
      <c r="P21" s="101">
        <f t="shared" si="20"/>
        <v>35661.12</v>
      </c>
      <c r="Q21" s="101">
        <f t="shared" si="20"/>
        <v>35661.12</v>
      </c>
      <c r="R21" s="101">
        <f t="shared" si="20"/>
        <v>35661.12</v>
      </c>
      <c r="S21" s="101">
        <f t="shared" si="20"/>
        <v>35661.12</v>
      </c>
      <c r="T21" s="101">
        <f t="shared" si="20"/>
        <v>35661.12</v>
      </c>
      <c r="U21" s="101">
        <f t="shared" si="20"/>
        <v>35661.12</v>
      </c>
      <c r="V21" s="101">
        <f t="shared" si="20"/>
        <v>35661.12</v>
      </c>
      <c r="W21" s="101">
        <f t="shared" si="18"/>
        <v>427933.44</v>
      </c>
      <c r="X21" s="101"/>
      <c r="Y21" s="8"/>
    </row>
    <row r="22" ht="12.75" customHeight="1">
      <c r="A22" s="61" t="s">
        <v>23</v>
      </c>
      <c r="B22" s="61" t="s">
        <v>180</v>
      </c>
      <c r="C22" s="61" t="s">
        <v>181</v>
      </c>
      <c r="D22" s="62" t="s">
        <v>22</v>
      </c>
      <c r="E22" s="62" t="s">
        <v>119</v>
      </c>
      <c r="F22" s="62" t="s">
        <v>19</v>
      </c>
      <c r="G22" s="63" t="s">
        <v>14</v>
      </c>
      <c r="H22" s="62" t="s">
        <v>91</v>
      </c>
      <c r="I22" s="100">
        <v>213.87</v>
      </c>
      <c r="J22" s="100">
        <f t="shared" si="16"/>
        <v>37641.12</v>
      </c>
      <c r="K22" s="100">
        <f t="shared" ref="K22:V22" si="21">$J22</f>
        <v>37641.12</v>
      </c>
      <c r="L22" s="100">
        <f t="shared" si="21"/>
        <v>37641.12</v>
      </c>
      <c r="M22" s="100">
        <f t="shared" si="21"/>
        <v>37641.12</v>
      </c>
      <c r="N22" s="101">
        <f t="shared" si="21"/>
        <v>37641.12</v>
      </c>
      <c r="O22" s="101">
        <f t="shared" si="21"/>
        <v>37641.12</v>
      </c>
      <c r="P22" s="101">
        <f t="shared" si="21"/>
        <v>37641.12</v>
      </c>
      <c r="Q22" s="101">
        <f t="shared" si="21"/>
        <v>37641.12</v>
      </c>
      <c r="R22" s="101">
        <f t="shared" si="21"/>
        <v>37641.12</v>
      </c>
      <c r="S22" s="101">
        <f t="shared" si="21"/>
        <v>37641.12</v>
      </c>
      <c r="T22" s="101">
        <f t="shared" si="21"/>
        <v>37641.12</v>
      </c>
      <c r="U22" s="101">
        <f t="shared" si="21"/>
        <v>37641.12</v>
      </c>
      <c r="V22" s="101">
        <f t="shared" si="21"/>
        <v>37641.12</v>
      </c>
      <c r="W22" s="101">
        <f t="shared" si="18"/>
        <v>451693.44</v>
      </c>
      <c r="X22" s="101"/>
      <c r="Y22" s="8"/>
    </row>
    <row r="23" ht="12.75" customHeight="1">
      <c r="A23" s="61" t="s">
        <v>27</v>
      </c>
      <c r="B23" s="61" t="s">
        <v>203</v>
      </c>
      <c r="C23" s="61" t="s">
        <v>204</v>
      </c>
      <c r="D23" s="62" t="s">
        <v>26</v>
      </c>
      <c r="E23" s="62" t="s">
        <v>119</v>
      </c>
      <c r="F23" s="62" t="s">
        <v>19</v>
      </c>
      <c r="G23" s="63" t="s">
        <v>14</v>
      </c>
      <c r="H23" s="62" t="s">
        <v>91</v>
      </c>
      <c r="I23" s="100">
        <v>213.87</v>
      </c>
      <c r="J23" s="100">
        <f t="shared" si="16"/>
        <v>37641.12</v>
      </c>
      <c r="K23" s="100">
        <f t="shared" ref="K23:V23" si="22">$J23</f>
        <v>37641.12</v>
      </c>
      <c r="L23" s="100">
        <f t="shared" si="22"/>
        <v>37641.12</v>
      </c>
      <c r="M23" s="100">
        <f t="shared" si="22"/>
        <v>37641.12</v>
      </c>
      <c r="N23" s="101">
        <f t="shared" si="22"/>
        <v>37641.12</v>
      </c>
      <c r="O23" s="101">
        <f t="shared" si="22"/>
        <v>37641.12</v>
      </c>
      <c r="P23" s="101">
        <f t="shared" si="22"/>
        <v>37641.12</v>
      </c>
      <c r="Q23" s="101">
        <f t="shared" si="22"/>
        <v>37641.12</v>
      </c>
      <c r="R23" s="101">
        <f t="shared" si="22"/>
        <v>37641.12</v>
      </c>
      <c r="S23" s="101">
        <f t="shared" si="22"/>
        <v>37641.12</v>
      </c>
      <c r="T23" s="101">
        <f t="shared" si="22"/>
        <v>37641.12</v>
      </c>
      <c r="U23" s="101">
        <f t="shared" si="22"/>
        <v>37641.12</v>
      </c>
      <c r="V23" s="101">
        <f t="shared" si="22"/>
        <v>37641.12</v>
      </c>
      <c r="W23" s="101">
        <f t="shared" si="18"/>
        <v>451693.44</v>
      </c>
      <c r="X23" s="101"/>
      <c r="Y23" s="8"/>
    </row>
    <row r="24" ht="12.75" customHeight="1">
      <c r="A24" s="4"/>
      <c r="B24" s="4"/>
      <c r="C24" s="4"/>
      <c r="D24" s="4"/>
      <c r="E24" s="4"/>
      <c r="F24" s="4"/>
      <c r="G24" s="72"/>
      <c r="H24" s="4"/>
      <c r="I24" s="102"/>
      <c r="J24" s="102"/>
      <c r="K24" s="102"/>
      <c r="L24" s="102"/>
      <c r="M24" s="102"/>
      <c r="N24" s="103">
        <f t="shared" ref="N24:V24" si="23">SUM(N18:N23)</f>
        <v>235440.48</v>
      </c>
      <c r="O24" s="103">
        <f t="shared" si="23"/>
        <v>235440.48</v>
      </c>
      <c r="P24" s="103">
        <f t="shared" si="23"/>
        <v>235440.48</v>
      </c>
      <c r="Q24" s="103">
        <f t="shared" si="23"/>
        <v>235440.48</v>
      </c>
      <c r="R24" s="103">
        <f t="shared" si="23"/>
        <v>235440.48</v>
      </c>
      <c r="S24" s="103">
        <f t="shared" si="23"/>
        <v>235440.48</v>
      </c>
      <c r="T24" s="103">
        <f t="shared" si="23"/>
        <v>235440.48</v>
      </c>
      <c r="U24" s="103">
        <f t="shared" si="23"/>
        <v>235440.48</v>
      </c>
      <c r="V24" s="103">
        <f t="shared" si="23"/>
        <v>235440.48</v>
      </c>
      <c r="W24" s="103">
        <f>SUM(N24:V24)</f>
        <v>2118964.32</v>
      </c>
      <c r="X24" s="103"/>
      <c r="Y24" s="8"/>
    </row>
    <row r="25" ht="12.75" customHeight="1">
      <c r="A25" s="4"/>
      <c r="B25" s="4"/>
      <c r="C25" s="4"/>
      <c r="D25" s="4"/>
      <c r="E25" s="4"/>
      <c r="F25" s="4"/>
      <c r="G25" s="72"/>
      <c r="H25" s="4"/>
      <c r="I25" s="72"/>
      <c r="J25" s="72"/>
      <c r="K25" s="72"/>
      <c r="L25" s="72"/>
      <c r="M25" s="72"/>
      <c r="N25" s="99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8"/>
    </row>
    <row r="26" ht="12.75" customHeight="1">
      <c r="A26" s="4"/>
      <c r="B26" s="4"/>
      <c r="C26" s="4"/>
      <c r="D26" s="4"/>
      <c r="E26" s="4"/>
      <c r="F26" s="4"/>
      <c r="G26" s="72"/>
      <c r="H26" s="4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8"/>
    </row>
    <row r="27" ht="12.75" customHeight="1">
      <c r="A27" s="4"/>
      <c r="B27" s="4"/>
      <c r="C27" s="4"/>
      <c r="D27" s="4"/>
      <c r="E27" s="4"/>
      <c r="F27" s="4"/>
      <c r="G27" s="72"/>
      <c r="H27" s="4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</row>
    <row r="28" ht="12.75" customHeight="1">
      <c r="A28" s="4"/>
      <c r="B28" s="4"/>
      <c r="C28" s="4"/>
      <c r="D28" s="4"/>
      <c r="E28" s="4"/>
      <c r="F28" s="4"/>
      <c r="G28" s="72"/>
      <c r="H28" s="4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</row>
    <row r="29" ht="12.75" customHeight="1">
      <c r="A29" s="4"/>
      <c r="B29" s="4"/>
      <c r="C29" s="4"/>
      <c r="D29" s="4"/>
      <c r="E29" s="4"/>
      <c r="F29" s="4"/>
      <c r="G29" s="72"/>
      <c r="H29" s="4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</row>
    <row r="30" ht="12.75" customHeight="1">
      <c r="A30" s="4"/>
      <c r="B30" s="4"/>
      <c r="C30" s="4"/>
      <c r="D30" s="4"/>
      <c r="E30" s="4"/>
      <c r="F30" s="4"/>
      <c r="G30" s="72"/>
      <c r="H30" s="4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</row>
    <row r="31" ht="12.75" customHeight="1">
      <c r="A31" s="4"/>
      <c r="B31" s="4"/>
      <c r="C31" s="4"/>
      <c r="D31" s="4"/>
      <c r="E31" s="4"/>
      <c r="F31" s="4"/>
      <c r="G31" s="72"/>
      <c r="H31" s="4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</row>
    <row r="32" ht="12.75" customHeight="1">
      <c r="A32" s="4"/>
      <c r="B32" s="4"/>
      <c r="C32" s="4"/>
      <c r="D32" s="4"/>
      <c r="E32" s="4"/>
      <c r="F32" s="4"/>
      <c r="G32" s="72"/>
      <c r="H32" s="4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</row>
    <row r="33" ht="12.75" customHeight="1">
      <c r="A33" s="4"/>
      <c r="B33" s="4"/>
      <c r="C33" s="4"/>
      <c r="D33" s="4"/>
      <c r="E33" s="4"/>
      <c r="F33" s="4"/>
      <c r="G33" s="72"/>
      <c r="H33" s="4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</row>
    <row r="34" ht="12.75" customHeight="1">
      <c r="A34" s="4"/>
      <c r="B34" s="4"/>
      <c r="C34" s="4"/>
      <c r="D34" s="4"/>
      <c r="E34" s="4"/>
      <c r="F34" s="4"/>
      <c r="G34" s="72"/>
      <c r="H34" s="4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</row>
    <row r="35" ht="12.75" customHeight="1">
      <c r="A35" s="4"/>
      <c r="B35" s="4"/>
      <c r="C35" s="4"/>
      <c r="D35" s="4"/>
      <c r="E35" s="4"/>
      <c r="F35" s="4"/>
      <c r="G35" s="72"/>
      <c r="H35" s="4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</row>
    <row r="36" ht="12.75" customHeight="1">
      <c r="A36" s="4"/>
      <c r="B36" s="4"/>
      <c r="C36" s="4"/>
      <c r="D36" s="4"/>
      <c r="E36" s="4"/>
      <c r="F36" s="4"/>
      <c r="G36" s="72"/>
      <c r="H36" s="4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</row>
    <row r="37" ht="12.75" customHeight="1">
      <c r="A37" s="4"/>
      <c r="B37" s="4"/>
      <c r="C37" s="4"/>
      <c r="D37" s="4"/>
      <c r="E37" s="4"/>
      <c r="F37" s="4"/>
      <c r="G37" s="72"/>
      <c r="H37" s="4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</row>
    <row r="38" ht="12.75" customHeight="1">
      <c r="A38" s="4"/>
      <c r="B38" s="4"/>
      <c r="C38" s="4"/>
      <c r="D38" s="4"/>
      <c r="E38" s="4"/>
      <c r="F38" s="4"/>
      <c r="G38" s="72"/>
      <c r="H38" s="4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</row>
    <row r="39" ht="12.75" customHeight="1">
      <c r="A39" s="4"/>
      <c r="B39" s="4"/>
      <c r="C39" s="4"/>
      <c r="D39" s="4"/>
      <c r="E39" s="4"/>
      <c r="F39" s="4"/>
      <c r="G39" s="72"/>
      <c r="H39" s="4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</row>
    <row r="40" ht="12.75" customHeight="1">
      <c r="A40" s="4"/>
      <c r="B40" s="4"/>
      <c r="C40" s="4"/>
      <c r="D40" s="4"/>
      <c r="E40" s="4"/>
      <c r="F40" s="4"/>
      <c r="G40" s="72"/>
      <c r="H40" s="4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</row>
    <row r="41" ht="12.75" customHeight="1">
      <c r="A41" s="4"/>
      <c r="B41" s="4"/>
      <c r="C41" s="4"/>
      <c r="D41" s="4"/>
      <c r="E41" s="4"/>
      <c r="F41" s="4"/>
      <c r="G41" s="72"/>
      <c r="H41" s="4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</row>
    <row r="42" ht="12.75" customHeight="1">
      <c r="A42" s="4"/>
      <c r="B42" s="4"/>
      <c r="C42" s="4"/>
      <c r="D42" s="4"/>
      <c r="E42" s="4"/>
      <c r="F42" s="4"/>
      <c r="G42" s="72"/>
      <c r="H42" s="4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</row>
    <row r="43" ht="12.75" customHeight="1">
      <c r="A43" s="4"/>
      <c r="B43" s="4"/>
      <c r="C43" s="4"/>
      <c r="D43" s="4"/>
      <c r="E43" s="4"/>
      <c r="F43" s="4"/>
      <c r="G43" s="72"/>
      <c r="H43" s="4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</row>
    <row r="44" ht="12.75" customHeight="1">
      <c r="A44" s="4"/>
      <c r="B44" s="4"/>
      <c r="C44" s="4"/>
      <c r="D44" s="4"/>
      <c r="E44" s="4"/>
      <c r="F44" s="4"/>
      <c r="G44" s="72"/>
      <c r="H44" s="4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</row>
    <row r="45" ht="12.75" customHeight="1">
      <c r="A45" s="4"/>
      <c r="B45" s="4"/>
      <c r="C45" s="4"/>
      <c r="D45" s="4"/>
      <c r="E45" s="4"/>
      <c r="F45" s="4"/>
      <c r="G45" s="72"/>
      <c r="H45" s="4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</row>
    <row r="46" ht="12.75" customHeight="1">
      <c r="A46" s="4"/>
      <c r="B46" s="4"/>
      <c r="C46" s="4"/>
      <c r="D46" s="4"/>
      <c r="E46" s="4"/>
      <c r="F46" s="4"/>
      <c r="G46" s="72"/>
      <c r="H46" s="4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</row>
    <row r="47" ht="12.75" customHeight="1">
      <c r="A47" s="4"/>
      <c r="B47" s="4"/>
      <c r="C47" s="4"/>
      <c r="D47" s="4"/>
      <c r="E47" s="4"/>
      <c r="F47" s="4"/>
      <c r="G47" s="72"/>
      <c r="H47" s="4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</row>
    <row r="48" ht="12.75" customHeight="1">
      <c r="A48" s="4"/>
      <c r="B48" s="4"/>
      <c r="C48" s="4"/>
      <c r="D48" s="4"/>
      <c r="E48" s="4"/>
      <c r="F48" s="4"/>
      <c r="G48" s="72"/>
      <c r="H48" s="4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</row>
    <row r="49" ht="12.75" customHeight="1">
      <c r="A49" s="4"/>
      <c r="B49" s="4"/>
      <c r="C49" s="4"/>
      <c r="D49" s="4"/>
      <c r="E49" s="4"/>
      <c r="F49" s="4"/>
      <c r="G49" s="72"/>
      <c r="H49" s="4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</row>
    <row r="50" ht="12.75" customHeight="1">
      <c r="A50" s="4"/>
      <c r="B50" s="4"/>
      <c r="C50" s="4"/>
      <c r="D50" s="4"/>
      <c r="E50" s="4"/>
      <c r="F50" s="4"/>
      <c r="G50" s="72"/>
      <c r="H50" s="4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</row>
    <row r="51" ht="12.75" customHeight="1">
      <c r="A51" s="4"/>
      <c r="B51" s="4"/>
      <c r="C51" s="4"/>
      <c r="D51" s="4"/>
      <c r="E51" s="4"/>
      <c r="F51" s="4"/>
      <c r="G51" s="72"/>
      <c r="H51" s="4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</row>
    <row r="52" ht="12.75" customHeight="1">
      <c r="A52" s="4"/>
      <c r="B52" s="4"/>
      <c r="C52" s="4"/>
      <c r="D52" s="4"/>
      <c r="E52" s="4"/>
      <c r="F52" s="4"/>
      <c r="G52" s="72"/>
      <c r="H52" s="4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</row>
    <row r="53" ht="12.75" customHeight="1">
      <c r="A53" s="4"/>
      <c r="B53" s="4"/>
      <c r="C53" s="4"/>
      <c r="D53" s="4"/>
      <c r="E53" s="4"/>
      <c r="F53" s="4"/>
      <c r="G53" s="72"/>
      <c r="H53" s="4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</row>
    <row r="54" ht="12.75" customHeight="1">
      <c r="A54" s="4"/>
      <c r="B54" s="4"/>
      <c r="C54" s="4"/>
      <c r="D54" s="4"/>
      <c r="E54" s="4"/>
      <c r="F54" s="4"/>
      <c r="G54" s="72"/>
      <c r="H54" s="4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</row>
    <row r="55" ht="12.75" customHeight="1">
      <c r="A55" s="4"/>
      <c r="B55" s="4"/>
      <c r="C55" s="4"/>
      <c r="D55" s="4"/>
      <c r="E55" s="4"/>
      <c r="F55" s="4"/>
      <c r="G55" s="72"/>
      <c r="H55" s="4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</row>
    <row r="56" ht="12.75" customHeight="1">
      <c r="A56" s="4"/>
      <c r="B56" s="4"/>
      <c r="C56" s="4"/>
      <c r="D56" s="4"/>
      <c r="E56" s="4"/>
      <c r="F56" s="4"/>
      <c r="G56" s="72"/>
      <c r="H56" s="4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</row>
    <row r="57" ht="12.75" customHeight="1">
      <c r="A57" s="4"/>
      <c r="B57" s="4"/>
      <c r="C57" s="4"/>
      <c r="D57" s="4"/>
      <c r="E57" s="4"/>
      <c r="F57" s="4"/>
      <c r="G57" s="72"/>
      <c r="H57" s="4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</row>
    <row r="58" ht="12.75" customHeight="1">
      <c r="A58" s="4"/>
      <c r="B58" s="4"/>
      <c r="C58" s="4"/>
      <c r="D58" s="4"/>
      <c r="E58" s="4"/>
      <c r="F58" s="4"/>
      <c r="G58" s="72"/>
      <c r="H58" s="4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</row>
    <row r="59" ht="12.75" customHeight="1">
      <c r="A59" s="4"/>
      <c r="B59" s="4"/>
      <c r="C59" s="4"/>
      <c r="D59" s="4"/>
      <c r="E59" s="4"/>
      <c r="F59" s="4"/>
      <c r="G59" s="72"/>
      <c r="H59" s="4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</row>
    <row r="60" ht="12.75" customHeight="1">
      <c r="A60" s="4"/>
      <c r="B60" s="4"/>
      <c r="C60" s="4"/>
      <c r="D60" s="4"/>
      <c r="E60" s="4"/>
      <c r="F60" s="4"/>
      <c r="G60" s="72"/>
      <c r="H60" s="4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</row>
    <row r="61" ht="12.75" customHeight="1">
      <c r="A61" s="4"/>
      <c r="B61" s="4"/>
      <c r="C61" s="4"/>
      <c r="D61" s="4"/>
      <c r="E61" s="4"/>
      <c r="F61" s="4"/>
      <c r="G61" s="72"/>
      <c r="H61" s="4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</row>
    <row r="62" ht="12.75" customHeight="1">
      <c r="A62" s="4"/>
      <c r="B62" s="4"/>
      <c r="C62" s="4"/>
      <c r="D62" s="4"/>
      <c r="E62" s="4"/>
      <c r="F62" s="4"/>
      <c r="G62" s="72"/>
      <c r="H62" s="4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</row>
    <row r="63" ht="12.75" customHeight="1">
      <c r="A63" s="4"/>
      <c r="B63" s="4"/>
      <c r="C63" s="4"/>
      <c r="D63" s="4"/>
      <c r="E63" s="4"/>
      <c r="F63" s="4"/>
      <c r="G63" s="72"/>
      <c r="H63" s="4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</row>
    <row r="64" ht="12.75" customHeight="1">
      <c r="A64" s="4"/>
      <c r="B64" s="4"/>
      <c r="C64" s="4"/>
      <c r="D64" s="4"/>
      <c r="E64" s="4"/>
      <c r="F64" s="4"/>
      <c r="G64" s="72"/>
      <c r="H64" s="4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</row>
    <row r="65" ht="12.75" customHeight="1">
      <c r="A65" s="4"/>
      <c r="B65" s="4"/>
      <c r="C65" s="4"/>
      <c r="D65" s="4"/>
      <c r="E65" s="4"/>
      <c r="F65" s="4"/>
      <c r="G65" s="72"/>
      <c r="H65" s="4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</row>
    <row r="66" ht="12.75" customHeight="1">
      <c r="A66" s="4"/>
      <c r="B66" s="4"/>
      <c r="C66" s="4"/>
      <c r="D66" s="4"/>
      <c r="E66" s="4"/>
      <c r="F66" s="4"/>
      <c r="G66" s="72"/>
      <c r="H66" s="4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</row>
    <row r="67" ht="12.75" customHeight="1">
      <c r="A67" s="4"/>
      <c r="B67" s="4"/>
      <c r="C67" s="4"/>
      <c r="D67" s="4"/>
      <c r="E67" s="4"/>
      <c r="F67" s="4"/>
      <c r="G67" s="72"/>
      <c r="H67" s="4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</row>
    <row r="68" ht="12.75" customHeight="1">
      <c r="A68" s="4"/>
      <c r="B68" s="4"/>
      <c r="C68" s="4"/>
      <c r="D68" s="4"/>
      <c r="E68" s="4"/>
      <c r="F68" s="4"/>
      <c r="G68" s="72"/>
      <c r="H68" s="4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</row>
    <row r="69" ht="12.75" customHeight="1">
      <c r="A69" s="4"/>
      <c r="B69" s="4"/>
      <c r="C69" s="4"/>
      <c r="D69" s="4"/>
      <c r="E69" s="4"/>
      <c r="F69" s="4"/>
      <c r="G69" s="72"/>
      <c r="H69" s="4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</row>
    <row r="70" ht="12.75" customHeight="1">
      <c r="A70" s="4"/>
      <c r="B70" s="4"/>
      <c r="C70" s="4"/>
      <c r="D70" s="4"/>
      <c r="E70" s="4"/>
      <c r="F70" s="4"/>
      <c r="G70" s="72"/>
      <c r="H70" s="4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</row>
    <row r="71" ht="12.75" customHeight="1">
      <c r="A71" s="4"/>
      <c r="B71" s="4"/>
      <c r="C71" s="4"/>
      <c r="D71" s="4"/>
      <c r="E71" s="4"/>
      <c r="F71" s="4"/>
      <c r="G71" s="72"/>
      <c r="H71" s="4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</row>
    <row r="72" ht="12.75" customHeight="1">
      <c r="A72" s="4"/>
      <c r="B72" s="4"/>
      <c r="C72" s="4"/>
      <c r="D72" s="4"/>
      <c r="E72" s="4"/>
      <c r="F72" s="4"/>
      <c r="G72" s="72"/>
      <c r="H72" s="4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</row>
    <row r="73" ht="12.75" customHeight="1">
      <c r="A73" s="4"/>
      <c r="B73" s="4"/>
      <c r="C73" s="4"/>
      <c r="D73" s="4"/>
      <c r="E73" s="4"/>
      <c r="F73" s="4"/>
      <c r="G73" s="72"/>
      <c r="H73" s="4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</row>
    <row r="74" ht="12.75" customHeight="1">
      <c r="A74" s="4"/>
      <c r="B74" s="4"/>
      <c r="C74" s="4"/>
      <c r="D74" s="4"/>
      <c r="E74" s="4"/>
      <c r="F74" s="4"/>
      <c r="G74" s="72"/>
      <c r="H74" s="4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</row>
    <row r="75" ht="12.75" customHeight="1">
      <c r="A75" s="4"/>
      <c r="B75" s="4"/>
      <c r="C75" s="4"/>
      <c r="D75" s="4"/>
      <c r="E75" s="4"/>
      <c r="F75" s="4"/>
      <c r="G75" s="72"/>
      <c r="H75" s="4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</row>
    <row r="76" ht="12.75" customHeight="1">
      <c r="A76" s="4"/>
      <c r="B76" s="4"/>
      <c r="C76" s="4"/>
      <c r="D76" s="4"/>
      <c r="E76" s="4"/>
      <c r="F76" s="4"/>
      <c r="G76" s="72"/>
      <c r="H76" s="4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</row>
    <row r="77" ht="12.75" customHeight="1">
      <c r="A77" s="4"/>
      <c r="B77" s="4"/>
      <c r="C77" s="4"/>
      <c r="D77" s="4"/>
      <c r="E77" s="4"/>
      <c r="F77" s="4"/>
      <c r="G77" s="72"/>
      <c r="H77" s="4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</row>
    <row r="78" ht="12.75" customHeight="1">
      <c r="A78" s="4"/>
      <c r="B78" s="4"/>
      <c r="C78" s="4"/>
      <c r="D78" s="4"/>
      <c r="E78" s="4"/>
      <c r="F78" s="4"/>
      <c r="G78" s="72"/>
      <c r="H78" s="4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</row>
    <row r="79" ht="12.75" customHeight="1">
      <c r="A79" s="4"/>
      <c r="B79" s="4"/>
      <c r="C79" s="4"/>
      <c r="D79" s="4"/>
      <c r="E79" s="4"/>
      <c r="F79" s="4"/>
      <c r="G79" s="72"/>
      <c r="H79" s="4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</row>
    <row r="80" ht="12.75" customHeight="1">
      <c r="A80" s="4"/>
      <c r="B80" s="4"/>
      <c r="C80" s="4"/>
      <c r="D80" s="4"/>
      <c r="E80" s="4"/>
      <c r="F80" s="4"/>
      <c r="G80" s="72"/>
      <c r="H80" s="4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</row>
    <row r="81" ht="12.75" customHeight="1">
      <c r="A81" s="4"/>
      <c r="B81" s="4"/>
      <c r="C81" s="4"/>
      <c r="D81" s="4"/>
      <c r="E81" s="4"/>
      <c r="F81" s="4"/>
      <c r="G81" s="72"/>
      <c r="H81" s="4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</row>
    <row r="82" ht="12.75" customHeight="1">
      <c r="A82" s="4"/>
      <c r="B82" s="4"/>
      <c r="C82" s="4"/>
      <c r="D82" s="4"/>
      <c r="E82" s="4"/>
      <c r="F82" s="4"/>
      <c r="G82" s="72"/>
      <c r="H82" s="4"/>
      <c r="I82" s="72"/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</row>
    <row r="83" ht="12.75" customHeight="1">
      <c r="A83" s="4"/>
      <c r="B83" s="4"/>
      <c r="C83" s="4"/>
      <c r="D83" s="4"/>
      <c r="E83" s="4"/>
      <c r="F83" s="4"/>
      <c r="G83" s="72"/>
      <c r="H83" s="4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</row>
    <row r="84" ht="12.75" customHeight="1">
      <c r="A84" s="4"/>
      <c r="B84" s="4"/>
      <c r="C84" s="4"/>
      <c r="D84" s="4"/>
      <c r="E84" s="4"/>
      <c r="F84" s="4"/>
      <c r="G84" s="72"/>
      <c r="H84" s="4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</row>
    <row r="85" ht="12.75" customHeight="1">
      <c r="A85" s="4"/>
      <c r="B85" s="4"/>
      <c r="C85" s="4"/>
      <c r="D85" s="4"/>
      <c r="E85" s="4"/>
      <c r="F85" s="4"/>
      <c r="G85" s="72"/>
      <c r="H85" s="4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</row>
    <row r="86" ht="12.75" customHeight="1">
      <c r="A86" s="4"/>
      <c r="B86" s="4"/>
      <c r="C86" s="4"/>
      <c r="D86" s="4"/>
      <c r="E86" s="4"/>
      <c r="F86" s="4"/>
      <c r="G86" s="72"/>
      <c r="H86" s="4"/>
      <c r="I86" s="72"/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</row>
    <row r="87" ht="12.75" customHeight="1">
      <c r="A87" s="4"/>
      <c r="B87" s="4"/>
      <c r="C87" s="4"/>
      <c r="D87" s="4"/>
      <c r="E87" s="4"/>
      <c r="F87" s="4"/>
      <c r="G87" s="72"/>
      <c r="H87" s="4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</row>
    <row r="88" ht="12.75" customHeight="1">
      <c r="A88" s="4"/>
      <c r="B88" s="4"/>
      <c r="C88" s="4"/>
      <c r="D88" s="4"/>
      <c r="E88" s="4"/>
      <c r="F88" s="4"/>
      <c r="G88" s="72"/>
      <c r="H88" s="4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</row>
    <row r="89" ht="12.75" customHeight="1">
      <c r="A89" s="4"/>
      <c r="B89" s="4"/>
      <c r="C89" s="4"/>
      <c r="D89" s="4"/>
      <c r="E89" s="4"/>
      <c r="F89" s="4"/>
      <c r="G89" s="72"/>
      <c r="H89" s="4"/>
      <c r="I89" s="72"/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</row>
    <row r="90" ht="12.75" customHeight="1">
      <c r="A90" s="4"/>
      <c r="B90" s="4"/>
      <c r="C90" s="4"/>
      <c r="D90" s="4"/>
      <c r="E90" s="4"/>
      <c r="F90" s="4"/>
      <c r="G90" s="72"/>
      <c r="H90" s="4"/>
      <c r="I90" s="72"/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</row>
    <row r="91" ht="12.75" customHeight="1">
      <c r="A91" s="4"/>
      <c r="B91" s="4"/>
      <c r="C91" s="4"/>
      <c r="D91" s="4"/>
      <c r="E91" s="4"/>
      <c r="F91" s="4"/>
      <c r="G91" s="72"/>
      <c r="H91" s="4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</row>
    <row r="92" ht="12.75" customHeight="1">
      <c r="A92" s="4"/>
      <c r="B92" s="4"/>
      <c r="C92" s="4"/>
      <c r="D92" s="4"/>
      <c r="E92" s="4"/>
      <c r="F92" s="4"/>
      <c r="G92" s="72"/>
      <c r="H92" s="4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</row>
    <row r="93" ht="12.75" customHeight="1">
      <c r="A93" s="4"/>
      <c r="B93" s="4"/>
      <c r="C93" s="4"/>
      <c r="D93" s="4"/>
      <c r="E93" s="4"/>
      <c r="F93" s="4"/>
      <c r="G93" s="72"/>
      <c r="H93" s="4"/>
      <c r="I93" s="72"/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</row>
    <row r="94" ht="12.75" customHeight="1">
      <c r="A94" s="4"/>
      <c r="B94" s="4"/>
      <c r="C94" s="4"/>
      <c r="D94" s="4"/>
      <c r="E94" s="4"/>
      <c r="F94" s="4"/>
      <c r="G94" s="72"/>
      <c r="H94" s="4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</row>
    <row r="95" ht="12.75" customHeight="1">
      <c r="A95" s="4"/>
      <c r="B95" s="4"/>
      <c r="C95" s="4"/>
      <c r="D95" s="4"/>
      <c r="E95" s="4"/>
      <c r="F95" s="4"/>
      <c r="G95" s="72"/>
      <c r="H95" s="4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</row>
    <row r="96" ht="12.75" customHeight="1">
      <c r="A96" s="4"/>
      <c r="B96" s="4"/>
      <c r="C96" s="4"/>
      <c r="D96" s="4"/>
      <c r="E96" s="4"/>
      <c r="F96" s="4"/>
      <c r="G96" s="72"/>
      <c r="H96" s="4"/>
      <c r="I96" s="72"/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</row>
    <row r="97" ht="12.75" customHeight="1">
      <c r="A97" s="4"/>
      <c r="B97" s="4"/>
      <c r="C97" s="4"/>
      <c r="D97" s="4"/>
      <c r="E97" s="4"/>
      <c r="F97" s="4"/>
      <c r="G97" s="72"/>
      <c r="H97" s="4"/>
      <c r="I97" s="72"/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</row>
    <row r="98" ht="12.75" customHeight="1">
      <c r="A98" s="4"/>
      <c r="B98" s="4"/>
      <c r="C98" s="4"/>
      <c r="D98" s="4"/>
      <c r="E98" s="4"/>
      <c r="F98" s="4"/>
      <c r="G98" s="72"/>
      <c r="H98" s="4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</row>
    <row r="99" ht="12.75" customHeight="1">
      <c r="A99" s="4"/>
      <c r="B99" s="4"/>
      <c r="C99" s="4"/>
      <c r="D99" s="4"/>
      <c r="E99" s="4"/>
      <c r="F99" s="4"/>
      <c r="G99" s="72"/>
      <c r="H99" s="4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</row>
    <row r="100" ht="12.75" customHeight="1">
      <c r="A100" s="4"/>
      <c r="B100" s="4"/>
      <c r="C100" s="4"/>
      <c r="D100" s="4"/>
      <c r="E100" s="4"/>
      <c r="F100" s="4"/>
      <c r="G100" s="72"/>
      <c r="H100" s="4"/>
      <c r="I100" s="72"/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</row>
    <row r="101" ht="12.75" customHeight="1">
      <c r="A101" s="4"/>
      <c r="B101" s="4"/>
      <c r="C101" s="4"/>
      <c r="D101" s="4"/>
      <c r="E101" s="4"/>
      <c r="F101" s="4"/>
      <c r="G101" s="72"/>
      <c r="H101" s="4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</row>
    <row r="102" ht="12.75" customHeight="1">
      <c r="A102" s="4"/>
      <c r="B102" s="4"/>
      <c r="C102" s="4"/>
      <c r="D102" s="4"/>
      <c r="E102" s="4"/>
      <c r="F102" s="4"/>
      <c r="G102" s="72"/>
      <c r="H102" s="4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</row>
    <row r="103" ht="12.75" customHeight="1">
      <c r="A103" s="4"/>
      <c r="B103" s="4"/>
      <c r="C103" s="4"/>
      <c r="D103" s="4"/>
      <c r="E103" s="4"/>
      <c r="F103" s="4"/>
      <c r="G103" s="72"/>
      <c r="H103" s="4"/>
      <c r="I103" s="72"/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</row>
    <row r="104" ht="12.75" customHeight="1">
      <c r="A104" s="4"/>
      <c r="B104" s="4"/>
      <c r="C104" s="4"/>
      <c r="D104" s="4"/>
      <c r="E104" s="4"/>
      <c r="F104" s="4"/>
      <c r="G104" s="72"/>
      <c r="H104" s="4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</row>
    <row r="105" ht="12.75" customHeight="1">
      <c r="A105" s="4"/>
      <c r="B105" s="4"/>
      <c r="C105" s="4"/>
      <c r="D105" s="4"/>
      <c r="E105" s="4"/>
      <c r="F105" s="4"/>
      <c r="G105" s="72"/>
      <c r="H105" s="4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</row>
    <row r="106" ht="12.75" customHeight="1">
      <c r="A106" s="4"/>
      <c r="B106" s="4"/>
      <c r="C106" s="4"/>
      <c r="D106" s="4"/>
      <c r="E106" s="4"/>
      <c r="F106" s="4"/>
      <c r="G106" s="72"/>
      <c r="H106" s="4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</row>
    <row r="107" ht="12.75" customHeight="1">
      <c r="A107" s="4"/>
      <c r="B107" s="4"/>
      <c r="C107" s="4"/>
      <c r="D107" s="4"/>
      <c r="E107" s="4"/>
      <c r="F107" s="4"/>
      <c r="G107" s="72"/>
      <c r="H107" s="4"/>
      <c r="I107" s="72"/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</row>
    <row r="108" ht="12.75" customHeight="1">
      <c r="A108" s="4"/>
      <c r="B108" s="4"/>
      <c r="C108" s="4"/>
      <c r="D108" s="4"/>
      <c r="E108" s="4"/>
      <c r="F108" s="4"/>
      <c r="G108" s="72"/>
      <c r="H108" s="4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</row>
    <row r="109" ht="12.75" customHeight="1">
      <c r="A109" s="4"/>
      <c r="B109" s="4"/>
      <c r="C109" s="4"/>
      <c r="D109" s="4"/>
      <c r="E109" s="4"/>
      <c r="F109" s="4"/>
      <c r="G109" s="72"/>
      <c r="H109" s="4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</row>
    <row r="110" ht="12.75" customHeight="1">
      <c r="A110" s="4"/>
      <c r="B110" s="4"/>
      <c r="C110" s="4"/>
      <c r="D110" s="4"/>
      <c r="E110" s="4"/>
      <c r="F110" s="4"/>
      <c r="G110" s="72"/>
      <c r="H110" s="4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</row>
    <row r="111" ht="12.75" customHeight="1">
      <c r="A111" s="4"/>
      <c r="B111" s="4"/>
      <c r="C111" s="4"/>
      <c r="D111" s="4"/>
      <c r="E111" s="4"/>
      <c r="F111" s="4"/>
      <c r="G111" s="72"/>
      <c r="H111" s="4"/>
      <c r="I111" s="72"/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</row>
    <row r="112" ht="12.75" customHeight="1">
      <c r="A112" s="4"/>
      <c r="B112" s="4"/>
      <c r="C112" s="4"/>
      <c r="D112" s="4"/>
      <c r="E112" s="4"/>
      <c r="F112" s="4"/>
      <c r="G112" s="72"/>
      <c r="H112" s="4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</row>
    <row r="113" ht="12.75" customHeight="1">
      <c r="A113" s="4"/>
      <c r="B113" s="4"/>
      <c r="C113" s="4"/>
      <c r="D113" s="4"/>
      <c r="E113" s="4"/>
      <c r="F113" s="4"/>
      <c r="G113" s="72"/>
      <c r="H113" s="4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</row>
    <row r="114" ht="12.75" customHeight="1">
      <c r="A114" s="4"/>
      <c r="B114" s="4"/>
      <c r="C114" s="4"/>
      <c r="D114" s="4"/>
      <c r="E114" s="4"/>
      <c r="F114" s="4"/>
      <c r="G114" s="72"/>
      <c r="H114" s="4"/>
      <c r="I114" s="72"/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</row>
    <row r="115" ht="12.75" customHeight="1">
      <c r="A115" s="4"/>
      <c r="B115" s="4"/>
      <c r="C115" s="4"/>
      <c r="D115" s="4"/>
      <c r="E115" s="4"/>
      <c r="F115" s="4"/>
      <c r="G115" s="72"/>
      <c r="H115" s="4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</row>
    <row r="116" ht="12.75" customHeight="1">
      <c r="A116" s="4"/>
      <c r="B116" s="4"/>
      <c r="C116" s="4"/>
      <c r="D116" s="4"/>
      <c r="E116" s="4"/>
      <c r="F116" s="4"/>
      <c r="G116" s="72"/>
      <c r="H116" s="4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</row>
    <row r="117" ht="12.75" customHeight="1">
      <c r="A117" s="4"/>
      <c r="B117" s="4"/>
      <c r="C117" s="4"/>
      <c r="D117" s="4"/>
      <c r="E117" s="4"/>
      <c r="F117" s="4"/>
      <c r="G117" s="72"/>
      <c r="H117" s="4"/>
      <c r="I117" s="72"/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</row>
    <row r="118" ht="12.75" customHeight="1">
      <c r="A118" s="4"/>
      <c r="B118" s="4"/>
      <c r="C118" s="4"/>
      <c r="D118" s="4"/>
      <c r="E118" s="4"/>
      <c r="F118" s="4"/>
      <c r="G118" s="72"/>
      <c r="H118" s="4"/>
      <c r="I118" s="72"/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</row>
    <row r="119" ht="12.75" customHeight="1">
      <c r="A119" s="4"/>
      <c r="B119" s="4"/>
      <c r="C119" s="4"/>
      <c r="D119" s="4"/>
      <c r="E119" s="4"/>
      <c r="F119" s="4"/>
      <c r="G119" s="72"/>
      <c r="H119" s="4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</row>
    <row r="120" ht="12.75" customHeight="1">
      <c r="A120" s="4"/>
      <c r="B120" s="4"/>
      <c r="C120" s="4"/>
      <c r="D120" s="4"/>
      <c r="E120" s="4"/>
      <c r="F120" s="4"/>
      <c r="G120" s="72"/>
      <c r="H120" s="4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</row>
    <row r="121" ht="12.75" customHeight="1">
      <c r="A121" s="4"/>
      <c r="B121" s="4"/>
      <c r="C121" s="4"/>
      <c r="D121" s="4"/>
      <c r="E121" s="4"/>
      <c r="F121" s="4"/>
      <c r="G121" s="72"/>
      <c r="H121" s="4"/>
      <c r="I121" s="72"/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</row>
    <row r="122" ht="12.75" customHeight="1">
      <c r="A122" s="4"/>
      <c r="B122" s="4"/>
      <c r="C122" s="4"/>
      <c r="D122" s="4"/>
      <c r="E122" s="4"/>
      <c r="F122" s="4"/>
      <c r="G122" s="72"/>
      <c r="H122" s="4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</row>
    <row r="123" ht="12.75" customHeight="1">
      <c r="A123" s="4"/>
      <c r="B123" s="4"/>
      <c r="C123" s="4"/>
      <c r="D123" s="4"/>
      <c r="E123" s="4"/>
      <c r="F123" s="4"/>
      <c r="G123" s="72"/>
      <c r="H123" s="4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</row>
    <row r="124" ht="12.75" customHeight="1">
      <c r="A124" s="4"/>
      <c r="B124" s="4"/>
      <c r="C124" s="4"/>
      <c r="D124" s="4"/>
      <c r="E124" s="4"/>
      <c r="F124" s="4"/>
      <c r="G124" s="72"/>
      <c r="H124" s="4"/>
      <c r="I124" s="72"/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</row>
    <row r="125" ht="12.75" customHeight="1">
      <c r="A125" s="4"/>
      <c r="B125" s="4"/>
      <c r="C125" s="4"/>
      <c r="D125" s="4"/>
      <c r="E125" s="4"/>
      <c r="F125" s="4"/>
      <c r="G125" s="72"/>
      <c r="H125" s="4"/>
      <c r="I125" s="72"/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</row>
    <row r="126" ht="12.75" customHeight="1">
      <c r="A126" s="4"/>
      <c r="B126" s="4"/>
      <c r="C126" s="4"/>
      <c r="D126" s="4"/>
      <c r="E126" s="4"/>
      <c r="F126" s="4"/>
      <c r="G126" s="72"/>
      <c r="H126" s="4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</row>
    <row r="127" ht="12.75" customHeight="1">
      <c r="A127" s="4"/>
      <c r="B127" s="4"/>
      <c r="C127" s="4"/>
      <c r="D127" s="4"/>
      <c r="E127" s="4"/>
      <c r="F127" s="4"/>
      <c r="G127" s="72"/>
      <c r="H127" s="4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</row>
    <row r="128" ht="12.75" customHeight="1">
      <c r="A128" s="4"/>
      <c r="B128" s="4"/>
      <c r="C128" s="4"/>
      <c r="D128" s="4"/>
      <c r="E128" s="4"/>
      <c r="F128" s="4"/>
      <c r="G128" s="72"/>
      <c r="H128" s="4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</row>
    <row r="129" ht="12.75" customHeight="1">
      <c r="A129" s="4"/>
      <c r="B129" s="4"/>
      <c r="C129" s="4"/>
      <c r="D129" s="4"/>
      <c r="E129" s="4"/>
      <c r="F129" s="4"/>
      <c r="G129" s="72"/>
      <c r="H129" s="4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</row>
    <row r="130" ht="12.75" customHeight="1">
      <c r="A130" s="4"/>
      <c r="B130" s="4"/>
      <c r="C130" s="4"/>
      <c r="D130" s="4"/>
      <c r="E130" s="4"/>
      <c r="F130" s="4"/>
      <c r="G130" s="72"/>
      <c r="H130" s="4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</row>
    <row r="131" ht="12.75" customHeight="1">
      <c r="A131" s="4"/>
      <c r="B131" s="4"/>
      <c r="C131" s="4"/>
      <c r="D131" s="4"/>
      <c r="E131" s="4"/>
      <c r="F131" s="4"/>
      <c r="G131" s="72"/>
      <c r="H131" s="4"/>
      <c r="I131" s="72"/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</row>
    <row r="132" ht="12.75" customHeight="1">
      <c r="A132" s="4"/>
      <c r="B132" s="4"/>
      <c r="C132" s="4"/>
      <c r="D132" s="4"/>
      <c r="E132" s="4"/>
      <c r="F132" s="4"/>
      <c r="G132" s="72"/>
      <c r="H132" s="4"/>
      <c r="I132" s="72"/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</row>
    <row r="133" ht="12.75" customHeight="1">
      <c r="A133" s="4"/>
      <c r="B133" s="4"/>
      <c r="C133" s="4"/>
      <c r="D133" s="4"/>
      <c r="E133" s="4"/>
      <c r="F133" s="4"/>
      <c r="G133" s="72"/>
      <c r="H133" s="4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</row>
    <row r="134" ht="12.75" customHeight="1">
      <c r="A134" s="4"/>
      <c r="B134" s="4"/>
      <c r="C134" s="4"/>
      <c r="D134" s="4"/>
      <c r="E134" s="4"/>
      <c r="F134" s="4"/>
      <c r="G134" s="72"/>
      <c r="H134" s="4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</row>
    <row r="135" ht="12.75" customHeight="1">
      <c r="A135" s="4"/>
      <c r="B135" s="4"/>
      <c r="C135" s="4"/>
      <c r="D135" s="4"/>
      <c r="E135" s="4"/>
      <c r="F135" s="4"/>
      <c r="G135" s="72"/>
      <c r="H135" s="4"/>
      <c r="I135" s="72"/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</row>
    <row r="136" ht="12.75" customHeight="1">
      <c r="A136" s="4"/>
      <c r="B136" s="4"/>
      <c r="C136" s="4"/>
      <c r="D136" s="4"/>
      <c r="E136" s="4"/>
      <c r="F136" s="4"/>
      <c r="G136" s="72"/>
      <c r="H136" s="4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</row>
    <row r="137" ht="12.75" customHeight="1">
      <c r="A137" s="4"/>
      <c r="B137" s="4"/>
      <c r="C137" s="4"/>
      <c r="D137" s="4"/>
      <c r="E137" s="4"/>
      <c r="F137" s="4"/>
      <c r="G137" s="72"/>
      <c r="H137" s="4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</row>
    <row r="138" ht="12.75" customHeight="1">
      <c r="A138" s="4"/>
      <c r="B138" s="4"/>
      <c r="C138" s="4"/>
      <c r="D138" s="4"/>
      <c r="E138" s="4"/>
      <c r="F138" s="4"/>
      <c r="G138" s="72"/>
      <c r="H138" s="4"/>
      <c r="I138" s="72"/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</row>
    <row r="139" ht="12.75" customHeight="1">
      <c r="A139" s="4"/>
      <c r="B139" s="4"/>
      <c r="C139" s="4"/>
      <c r="D139" s="4"/>
      <c r="E139" s="4"/>
      <c r="F139" s="4"/>
      <c r="G139" s="72"/>
      <c r="H139" s="4"/>
      <c r="I139" s="72"/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</row>
    <row r="140" ht="12.75" customHeight="1">
      <c r="A140" s="4"/>
      <c r="B140" s="4"/>
      <c r="C140" s="4"/>
      <c r="D140" s="4"/>
      <c r="E140" s="4"/>
      <c r="F140" s="4"/>
      <c r="G140" s="72"/>
      <c r="H140" s="4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</row>
    <row r="141" ht="12.75" customHeight="1">
      <c r="A141" s="4"/>
      <c r="B141" s="4"/>
      <c r="C141" s="4"/>
      <c r="D141" s="4"/>
      <c r="E141" s="4"/>
      <c r="F141" s="4"/>
      <c r="G141" s="72"/>
      <c r="H141" s="4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</row>
    <row r="142" ht="12.75" customHeight="1">
      <c r="A142" s="4"/>
      <c r="B142" s="4"/>
      <c r="C142" s="4"/>
      <c r="D142" s="4"/>
      <c r="E142" s="4"/>
      <c r="F142" s="4"/>
      <c r="G142" s="72"/>
      <c r="H142" s="4"/>
      <c r="I142" s="72"/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</row>
    <row r="143" ht="12.75" customHeight="1">
      <c r="A143" s="4"/>
      <c r="B143" s="4"/>
      <c r="C143" s="4"/>
      <c r="D143" s="4"/>
      <c r="E143" s="4"/>
      <c r="F143" s="4"/>
      <c r="G143" s="72"/>
      <c r="H143" s="4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</row>
    <row r="144" ht="12.75" customHeight="1">
      <c r="A144" s="4"/>
      <c r="B144" s="4"/>
      <c r="C144" s="4"/>
      <c r="D144" s="4"/>
      <c r="E144" s="4"/>
      <c r="F144" s="4"/>
      <c r="G144" s="72"/>
      <c r="H144" s="4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</row>
    <row r="145" ht="12.75" customHeight="1">
      <c r="A145" s="4"/>
      <c r="B145" s="4"/>
      <c r="C145" s="4"/>
      <c r="D145" s="4"/>
      <c r="E145" s="4"/>
      <c r="F145" s="4"/>
      <c r="G145" s="72"/>
      <c r="H145" s="4"/>
      <c r="I145" s="72"/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</row>
    <row r="146" ht="12.75" customHeight="1">
      <c r="A146" s="4"/>
      <c r="B146" s="4"/>
      <c r="C146" s="4"/>
      <c r="D146" s="4"/>
      <c r="E146" s="4"/>
      <c r="F146" s="4"/>
      <c r="G146" s="72"/>
      <c r="H146" s="4"/>
      <c r="I146" s="72"/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</row>
    <row r="147" ht="12.75" customHeight="1">
      <c r="A147" s="4"/>
      <c r="B147" s="4"/>
      <c r="C147" s="4"/>
      <c r="D147" s="4"/>
      <c r="E147" s="4"/>
      <c r="F147" s="4"/>
      <c r="G147" s="72"/>
      <c r="H147" s="4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</row>
    <row r="148" ht="12.75" customHeight="1">
      <c r="A148" s="4"/>
      <c r="B148" s="4"/>
      <c r="C148" s="4"/>
      <c r="D148" s="4"/>
      <c r="E148" s="4"/>
      <c r="F148" s="4"/>
      <c r="G148" s="72"/>
      <c r="H148" s="4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</row>
    <row r="149" ht="12.75" customHeight="1">
      <c r="A149" s="4"/>
      <c r="B149" s="4"/>
      <c r="C149" s="4"/>
      <c r="D149" s="4"/>
      <c r="E149" s="4"/>
      <c r="F149" s="4"/>
      <c r="G149" s="72"/>
      <c r="H149" s="4"/>
      <c r="I149" s="72"/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</row>
    <row r="150" ht="12.75" customHeight="1">
      <c r="A150" s="4"/>
      <c r="B150" s="4"/>
      <c r="C150" s="4"/>
      <c r="D150" s="4"/>
      <c r="E150" s="4"/>
      <c r="F150" s="4"/>
      <c r="G150" s="72"/>
      <c r="H150" s="4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</row>
    <row r="151" ht="12.75" customHeight="1">
      <c r="A151" s="4"/>
      <c r="B151" s="4"/>
      <c r="C151" s="4"/>
      <c r="D151" s="4"/>
      <c r="E151" s="4"/>
      <c r="F151" s="4"/>
      <c r="G151" s="72"/>
      <c r="H151" s="4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</row>
    <row r="152" ht="12.75" customHeight="1">
      <c r="A152" s="4"/>
      <c r="B152" s="4"/>
      <c r="C152" s="4"/>
      <c r="D152" s="4"/>
      <c r="E152" s="4"/>
      <c r="F152" s="4"/>
      <c r="G152" s="72"/>
      <c r="H152" s="4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</row>
    <row r="153" ht="12.75" customHeight="1">
      <c r="A153" s="4"/>
      <c r="B153" s="4"/>
      <c r="C153" s="4"/>
      <c r="D153" s="4"/>
      <c r="E153" s="4"/>
      <c r="F153" s="4"/>
      <c r="G153" s="72"/>
      <c r="H153" s="4"/>
      <c r="I153" s="72"/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</row>
    <row r="154" ht="12.75" customHeight="1">
      <c r="A154" s="4"/>
      <c r="B154" s="4"/>
      <c r="C154" s="4"/>
      <c r="D154" s="4"/>
      <c r="E154" s="4"/>
      <c r="F154" s="4"/>
      <c r="G154" s="72"/>
      <c r="H154" s="4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</row>
    <row r="155" ht="12.75" customHeight="1">
      <c r="A155" s="4"/>
      <c r="B155" s="4"/>
      <c r="C155" s="4"/>
      <c r="D155" s="4"/>
      <c r="E155" s="4"/>
      <c r="F155" s="4"/>
      <c r="G155" s="72"/>
      <c r="H155" s="4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</row>
    <row r="156" ht="12.75" customHeight="1">
      <c r="A156" s="4"/>
      <c r="B156" s="4"/>
      <c r="C156" s="4"/>
      <c r="D156" s="4"/>
      <c r="E156" s="4"/>
      <c r="F156" s="4"/>
      <c r="G156" s="72"/>
      <c r="H156" s="4"/>
      <c r="I156" s="72"/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</row>
    <row r="157" ht="12.75" customHeight="1">
      <c r="A157" s="4"/>
      <c r="B157" s="4"/>
      <c r="C157" s="4"/>
      <c r="D157" s="4"/>
      <c r="E157" s="4"/>
      <c r="F157" s="4"/>
      <c r="G157" s="72"/>
      <c r="H157" s="4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</row>
    <row r="158" ht="12.75" customHeight="1">
      <c r="A158" s="4"/>
      <c r="B158" s="4"/>
      <c r="C158" s="4"/>
      <c r="D158" s="4"/>
      <c r="E158" s="4"/>
      <c r="F158" s="4"/>
      <c r="G158" s="72"/>
      <c r="H158" s="4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</row>
    <row r="159" ht="12.75" customHeight="1">
      <c r="A159" s="4"/>
      <c r="B159" s="4"/>
      <c r="C159" s="4"/>
      <c r="D159" s="4"/>
      <c r="E159" s="4"/>
      <c r="F159" s="4"/>
      <c r="G159" s="72"/>
      <c r="H159" s="4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</row>
    <row r="160" ht="12.75" customHeight="1">
      <c r="A160" s="4"/>
      <c r="B160" s="4"/>
      <c r="C160" s="4"/>
      <c r="D160" s="4"/>
      <c r="E160" s="4"/>
      <c r="F160" s="4"/>
      <c r="G160" s="72"/>
      <c r="H160" s="4"/>
      <c r="I160" s="72"/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</row>
    <row r="161" ht="12.75" customHeight="1">
      <c r="A161" s="4"/>
      <c r="B161" s="4"/>
      <c r="C161" s="4"/>
      <c r="D161" s="4"/>
      <c r="E161" s="4"/>
      <c r="F161" s="4"/>
      <c r="G161" s="72"/>
      <c r="H161" s="4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</row>
    <row r="162" ht="12.75" customHeight="1">
      <c r="A162" s="4"/>
      <c r="B162" s="4"/>
      <c r="C162" s="4"/>
      <c r="D162" s="4"/>
      <c r="E162" s="4"/>
      <c r="F162" s="4"/>
      <c r="G162" s="72"/>
      <c r="H162" s="4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</row>
    <row r="163" ht="12.75" customHeight="1">
      <c r="A163" s="4"/>
      <c r="B163" s="4"/>
      <c r="C163" s="4"/>
      <c r="D163" s="4"/>
      <c r="E163" s="4"/>
      <c r="F163" s="4"/>
      <c r="G163" s="72"/>
      <c r="H163" s="4"/>
      <c r="I163" s="72"/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</row>
    <row r="164" ht="12.75" customHeight="1">
      <c r="A164" s="4"/>
      <c r="B164" s="4"/>
      <c r="C164" s="4"/>
      <c r="D164" s="4"/>
      <c r="E164" s="4"/>
      <c r="F164" s="4"/>
      <c r="G164" s="72"/>
      <c r="H164" s="4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</row>
    <row r="165" ht="12.75" customHeight="1">
      <c r="A165" s="4"/>
      <c r="B165" s="4"/>
      <c r="C165" s="4"/>
      <c r="D165" s="4"/>
      <c r="E165" s="4"/>
      <c r="F165" s="4"/>
      <c r="G165" s="72"/>
      <c r="H165" s="4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</row>
    <row r="166" ht="12.75" customHeight="1">
      <c r="A166" s="4"/>
      <c r="B166" s="4"/>
      <c r="C166" s="4"/>
      <c r="D166" s="4"/>
      <c r="E166" s="4"/>
      <c r="F166" s="4"/>
      <c r="G166" s="72"/>
      <c r="H166" s="4"/>
      <c r="I166" s="72"/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</row>
    <row r="167" ht="12.75" customHeight="1">
      <c r="A167" s="4"/>
      <c r="B167" s="4"/>
      <c r="C167" s="4"/>
      <c r="D167" s="4"/>
      <c r="E167" s="4"/>
      <c r="F167" s="4"/>
      <c r="G167" s="72"/>
      <c r="H167" s="4"/>
      <c r="I167" s="72"/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</row>
    <row r="168" ht="12.75" customHeight="1">
      <c r="A168" s="4"/>
      <c r="B168" s="4"/>
      <c r="C168" s="4"/>
      <c r="D168" s="4"/>
      <c r="E168" s="4"/>
      <c r="F168" s="4"/>
      <c r="G168" s="72"/>
      <c r="H168" s="4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</row>
    <row r="169" ht="12.75" customHeight="1">
      <c r="A169" s="4"/>
      <c r="B169" s="4"/>
      <c r="C169" s="4"/>
      <c r="D169" s="4"/>
      <c r="E169" s="4"/>
      <c r="F169" s="4"/>
      <c r="G169" s="72"/>
      <c r="H169" s="4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</row>
    <row r="170" ht="12.75" customHeight="1">
      <c r="A170" s="4"/>
      <c r="B170" s="4"/>
      <c r="C170" s="4"/>
      <c r="D170" s="4"/>
      <c r="E170" s="4"/>
      <c r="F170" s="4"/>
      <c r="G170" s="72"/>
      <c r="H170" s="4"/>
      <c r="I170" s="72"/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</row>
    <row r="171" ht="12.75" customHeight="1">
      <c r="A171" s="4"/>
      <c r="B171" s="4"/>
      <c r="C171" s="4"/>
      <c r="D171" s="4"/>
      <c r="E171" s="4"/>
      <c r="F171" s="4"/>
      <c r="G171" s="72"/>
      <c r="H171" s="4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</row>
    <row r="172" ht="12.75" customHeight="1">
      <c r="A172" s="4"/>
      <c r="B172" s="4"/>
      <c r="C172" s="4"/>
      <c r="D172" s="4"/>
      <c r="E172" s="4"/>
      <c r="F172" s="4"/>
      <c r="G172" s="72"/>
      <c r="H172" s="4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</row>
    <row r="173" ht="12.75" customHeight="1">
      <c r="A173" s="4"/>
      <c r="B173" s="4"/>
      <c r="C173" s="4"/>
      <c r="D173" s="4"/>
      <c r="E173" s="4"/>
      <c r="F173" s="4"/>
      <c r="G173" s="72"/>
      <c r="H173" s="4"/>
      <c r="I173" s="72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</row>
    <row r="174" ht="12.75" customHeight="1">
      <c r="A174" s="4"/>
      <c r="B174" s="4"/>
      <c r="C174" s="4"/>
      <c r="D174" s="4"/>
      <c r="E174" s="4"/>
      <c r="F174" s="4"/>
      <c r="G174" s="72"/>
      <c r="H174" s="4"/>
      <c r="I174" s="72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</row>
    <row r="175" ht="12.75" customHeight="1">
      <c r="A175" s="4"/>
      <c r="B175" s="4"/>
      <c r="C175" s="4"/>
      <c r="D175" s="4"/>
      <c r="E175" s="4"/>
      <c r="F175" s="4"/>
      <c r="G175" s="72"/>
      <c r="H175" s="4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</row>
    <row r="176" ht="12.75" customHeight="1">
      <c r="A176" s="4"/>
      <c r="B176" s="4"/>
      <c r="C176" s="4"/>
      <c r="D176" s="4"/>
      <c r="E176" s="4"/>
      <c r="F176" s="4"/>
      <c r="G176" s="72"/>
      <c r="H176" s="4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</row>
    <row r="177" ht="12.75" customHeight="1">
      <c r="A177" s="4"/>
      <c r="B177" s="4"/>
      <c r="C177" s="4"/>
      <c r="D177" s="4"/>
      <c r="E177" s="4"/>
      <c r="F177" s="4"/>
      <c r="G177" s="72"/>
      <c r="H177" s="4"/>
      <c r="I177" s="72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</row>
    <row r="178" ht="12.75" customHeight="1">
      <c r="A178" s="4"/>
      <c r="B178" s="4"/>
      <c r="C178" s="4"/>
      <c r="D178" s="4"/>
      <c r="E178" s="4"/>
      <c r="F178" s="4"/>
      <c r="G178" s="72"/>
      <c r="H178" s="4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</row>
    <row r="179" ht="12.75" customHeight="1">
      <c r="A179" s="4"/>
      <c r="B179" s="4"/>
      <c r="C179" s="4"/>
      <c r="D179" s="4"/>
      <c r="E179" s="4"/>
      <c r="F179" s="4"/>
      <c r="G179" s="72"/>
      <c r="H179" s="4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</row>
    <row r="180" ht="12.75" customHeight="1">
      <c r="A180" s="4"/>
      <c r="B180" s="4"/>
      <c r="C180" s="4"/>
      <c r="D180" s="4"/>
      <c r="E180" s="4"/>
      <c r="F180" s="4"/>
      <c r="G180" s="72"/>
      <c r="H180" s="4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</row>
    <row r="181" ht="12.75" customHeight="1">
      <c r="A181" s="4"/>
      <c r="B181" s="4"/>
      <c r="C181" s="4"/>
      <c r="D181" s="4"/>
      <c r="E181" s="4"/>
      <c r="F181" s="4"/>
      <c r="G181" s="72"/>
      <c r="H181" s="4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</row>
    <row r="182" ht="12.75" customHeight="1">
      <c r="A182" s="4"/>
      <c r="B182" s="4"/>
      <c r="C182" s="4"/>
      <c r="D182" s="4"/>
      <c r="E182" s="4"/>
      <c r="F182" s="4"/>
      <c r="G182" s="72"/>
      <c r="H182" s="4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</row>
    <row r="183" ht="12.75" customHeight="1">
      <c r="A183" s="4"/>
      <c r="B183" s="4"/>
      <c r="C183" s="4"/>
      <c r="D183" s="4"/>
      <c r="E183" s="4"/>
      <c r="F183" s="4"/>
      <c r="G183" s="72"/>
      <c r="H183" s="4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</row>
    <row r="184" ht="12.75" customHeight="1">
      <c r="A184" s="4"/>
      <c r="B184" s="4"/>
      <c r="C184" s="4"/>
      <c r="D184" s="4"/>
      <c r="E184" s="4"/>
      <c r="F184" s="4"/>
      <c r="G184" s="72"/>
      <c r="H184" s="4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</row>
    <row r="185" ht="12.75" customHeight="1">
      <c r="A185" s="4"/>
      <c r="B185" s="4"/>
      <c r="C185" s="4"/>
      <c r="D185" s="4"/>
      <c r="E185" s="4"/>
      <c r="F185" s="4"/>
      <c r="G185" s="72"/>
      <c r="H185" s="4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</row>
    <row r="186" ht="12.75" customHeight="1">
      <c r="A186" s="4"/>
      <c r="B186" s="4"/>
      <c r="C186" s="4"/>
      <c r="D186" s="4"/>
      <c r="E186" s="4"/>
      <c r="F186" s="4"/>
      <c r="G186" s="72"/>
      <c r="H186" s="4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</row>
    <row r="187" ht="12.75" customHeight="1">
      <c r="A187" s="4"/>
      <c r="B187" s="4"/>
      <c r="C187" s="4"/>
      <c r="D187" s="4"/>
      <c r="E187" s="4"/>
      <c r="F187" s="4"/>
      <c r="G187" s="72"/>
      <c r="H187" s="4"/>
      <c r="I187" s="7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</row>
    <row r="188" ht="12.75" customHeight="1">
      <c r="A188" s="4"/>
      <c r="B188" s="4"/>
      <c r="C188" s="4"/>
      <c r="D188" s="4"/>
      <c r="E188" s="4"/>
      <c r="F188" s="4"/>
      <c r="G188" s="72"/>
      <c r="H188" s="4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</row>
    <row r="189" ht="12.75" customHeight="1">
      <c r="A189" s="4"/>
      <c r="B189" s="4"/>
      <c r="C189" s="4"/>
      <c r="D189" s="4"/>
      <c r="E189" s="4"/>
      <c r="F189" s="4"/>
      <c r="G189" s="72"/>
      <c r="H189" s="4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</row>
    <row r="190" ht="12.75" customHeight="1">
      <c r="A190" s="4"/>
      <c r="B190" s="4"/>
      <c r="C190" s="4"/>
      <c r="D190" s="4"/>
      <c r="E190" s="4"/>
      <c r="F190" s="4"/>
      <c r="G190" s="72"/>
      <c r="H190" s="4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</row>
    <row r="191" ht="12.75" customHeight="1">
      <c r="A191" s="4"/>
      <c r="B191" s="4"/>
      <c r="C191" s="4"/>
      <c r="D191" s="4"/>
      <c r="E191" s="4"/>
      <c r="F191" s="4"/>
      <c r="G191" s="72"/>
      <c r="H191" s="4"/>
      <c r="I191" s="72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</row>
    <row r="192" ht="12.75" customHeight="1">
      <c r="A192" s="4"/>
      <c r="B192" s="4"/>
      <c r="C192" s="4"/>
      <c r="D192" s="4"/>
      <c r="E192" s="4"/>
      <c r="F192" s="4"/>
      <c r="G192" s="72"/>
      <c r="H192" s="4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</row>
    <row r="193" ht="12.75" customHeight="1">
      <c r="A193" s="4"/>
      <c r="B193" s="4"/>
      <c r="C193" s="4"/>
      <c r="D193" s="4"/>
      <c r="E193" s="4"/>
      <c r="F193" s="4"/>
      <c r="G193" s="72"/>
      <c r="H193" s="4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</row>
    <row r="194" ht="12.75" customHeight="1">
      <c r="A194" s="4"/>
      <c r="B194" s="4"/>
      <c r="C194" s="4"/>
      <c r="D194" s="4"/>
      <c r="E194" s="4"/>
      <c r="F194" s="4"/>
      <c r="G194" s="72"/>
      <c r="H194" s="4"/>
      <c r="I194" s="72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</row>
    <row r="195" ht="12.75" customHeight="1">
      <c r="A195" s="4"/>
      <c r="B195" s="4"/>
      <c r="C195" s="4"/>
      <c r="D195" s="4"/>
      <c r="E195" s="4"/>
      <c r="F195" s="4"/>
      <c r="G195" s="72"/>
      <c r="H195" s="4"/>
      <c r="I195" s="72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</row>
    <row r="196" ht="12.75" customHeight="1">
      <c r="A196" s="4"/>
      <c r="B196" s="4"/>
      <c r="C196" s="4"/>
      <c r="D196" s="4"/>
      <c r="E196" s="4"/>
      <c r="F196" s="4"/>
      <c r="G196" s="72"/>
      <c r="H196" s="4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</row>
    <row r="197" ht="12.75" customHeight="1">
      <c r="A197" s="4"/>
      <c r="B197" s="4"/>
      <c r="C197" s="4"/>
      <c r="D197" s="4"/>
      <c r="E197" s="4"/>
      <c r="F197" s="4"/>
      <c r="G197" s="72"/>
      <c r="H197" s="4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</row>
    <row r="198" ht="12.75" customHeight="1">
      <c r="A198" s="4"/>
      <c r="B198" s="4"/>
      <c r="C198" s="4"/>
      <c r="D198" s="4"/>
      <c r="E198" s="4"/>
      <c r="F198" s="4"/>
      <c r="G198" s="72"/>
      <c r="H198" s="4"/>
      <c r="I198" s="72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</row>
    <row r="199" ht="12.75" customHeight="1">
      <c r="A199" s="4"/>
      <c r="B199" s="4"/>
      <c r="C199" s="4"/>
      <c r="D199" s="4"/>
      <c r="E199" s="4"/>
      <c r="F199" s="4"/>
      <c r="G199" s="72"/>
      <c r="H199" s="4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</row>
    <row r="200" ht="12.75" customHeight="1">
      <c r="A200" s="4"/>
      <c r="B200" s="4"/>
      <c r="C200" s="4"/>
      <c r="D200" s="4"/>
      <c r="E200" s="4"/>
      <c r="F200" s="4"/>
      <c r="G200" s="72"/>
      <c r="H200" s="4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</row>
    <row r="201" ht="12.75" customHeight="1">
      <c r="A201" s="4"/>
      <c r="B201" s="4"/>
      <c r="C201" s="4"/>
      <c r="D201" s="4"/>
      <c r="E201" s="4"/>
      <c r="F201" s="4"/>
      <c r="G201" s="72"/>
      <c r="H201" s="4"/>
      <c r="I201" s="72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</row>
    <row r="202" ht="12.75" customHeight="1">
      <c r="A202" s="4"/>
      <c r="B202" s="4"/>
      <c r="C202" s="4"/>
      <c r="D202" s="4"/>
      <c r="E202" s="4"/>
      <c r="F202" s="4"/>
      <c r="G202" s="72"/>
      <c r="H202" s="4"/>
      <c r="I202" s="72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</row>
    <row r="203" ht="12.75" customHeight="1">
      <c r="A203" s="4"/>
      <c r="B203" s="4"/>
      <c r="C203" s="4"/>
      <c r="D203" s="4"/>
      <c r="E203" s="4"/>
      <c r="F203" s="4"/>
      <c r="G203" s="72"/>
      <c r="H203" s="4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</row>
    <row r="204" ht="12.75" customHeight="1">
      <c r="A204" s="4"/>
      <c r="B204" s="4"/>
      <c r="C204" s="4"/>
      <c r="D204" s="4"/>
      <c r="E204" s="4"/>
      <c r="F204" s="4"/>
      <c r="G204" s="72"/>
      <c r="H204" s="4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</row>
    <row r="205" ht="12.75" customHeight="1">
      <c r="A205" s="4"/>
      <c r="B205" s="4"/>
      <c r="C205" s="4"/>
      <c r="D205" s="4"/>
      <c r="E205" s="4"/>
      <c r="F205" s="4"/>
      <c r="G205" s="72"/>
      <c r="H205" s="4"/>
      <c r="I205" s="72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</row>
    <row r="206" ht="12.75" customHeight="1">
      <c r="A206" s="4"/>
      <c r="B206" s="4"/>
      <c r="C206" s="4"/>
      <c r="D206" s="4"/>
      <c r="E206" s="4"/>
      <c r="F206" s="4"/>
      <c r="G206" s="72"/>
      <c r="H206" s="4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</row>
    <row r="207" ht="12.75" customHeight="1">
      <c r="A207" s="4"/>
      <c r="B207" s="4"/>
      <c r="C207" s="4"/>
      <c r="D207" s="4"/>
      <c r="E207" s="4"/>
      <c r="F207" s="4"/>
      <c r="G207" s="72"/>
      <c r="H207" s="4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</row>
    <row r="208" ht="12.75" customHeight="1">
      <c r="A208" s="4"/>
      <c r="B208" s="4"/>
      <c r="C208" s="4"/>
      <c r="D208" s="4"/>
      <c r="E208" s="4"/>
      <c r="F208" s="4"/>
      <c r="G208" s="72"/>
      <c r="H208" s="4"/>
      <c r="I208" s="72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</row>
    <row r="209" ht="12.75" customHeight="1">
      <c r="A209" s="4"/>
      <c r="B209" s="4"/>
      <c r="C209" s="4"/>
      <c r="D209" s="4"/>
      <c r="E209" s="4"/>
      <c r="F209" s="4"/>
      <c r="G209" s="72"/>
      <c r="H209" s="4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</row>
    <row r="210" ht="12.75" customHeight="1">
      <c r="A210" s="4"/>
      <c r="B210" s="4"/>
      <c r="C210" s="4"/>
      <c r="D210" s="4"/>
      <c r="E210" s="4"/>
      <c r="F210" s="4"/>
      <c r="G210" s="72"/>
      <c r="H210" s="4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</row>
    <row r="211" ht="12.75" customHeight="1">
      <c r="A211" s="4"/>
      <c r="B211" s="4"/>
      <c r="C211" s="4"/>
      <c r="D211" s="4"/>
      <c r="E211" s="4"/>
      <c r="F211" s="4"/>
      <c r="G211" s="72"/>
      <c r="H211" s="4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</row>
    <row r="212" ht="12.75" customHeight="1">
      <c r="A212" s="4"/>
      <c r="B212" s="4"/>
      <c r="C212" s="4"/>
      <c r="D212" s="4"/>
      <c r="E212" s="4"/>
      <c r="F212" s="4"/>
      <c r="G212" s="72"/>
      <c r="H212" s="4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</row>
    <row r="213" ht="12.75" customHeight="1">
      <c r="A213" s="4"/>
      <c r="B213" s="4"/>
      <c r="C213" s="4"/>
      <c r="D213" s="4"/>
      <c r="E213" s="4"/>
      <c r="F213" s="4"/>
      <c r="G213" s="72"/>
      <c r="H213" s="4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</row>
    <row r="214" ht="12.75" customHeight="1">
      <c r="A214" s="4"/>
      <c r="B214" s="4"/>
      <c r="C214" s="4"/>
      <c r="D214" s="4"/>
      <c r="E214" s="4"/>
      <c r="F214" s="4"/>
      <c r="G214" s="72"/>
      <c r="H214" s="4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</row>
    <row r="215" ht="12.75" customHeight="1">
      <c r="A215" s="4"/>
      <c r="B215" s="4"/>
      <c r="C215" s="4"/>
      <c r="D215" s="4"/>
      <c r="E215" s="4"/>
      <c r="F215" s="4"/>
      <c r="G215" s="72"/>
      <c r="H215" s="4"/>
      <c r="I215" s="72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</row>
    <row r="216" ht="12.75" customHeight="1">
      <c r="A216" s="4"/>
      <c r="B216" s="4"/>
      <c r="C216" s="4"/>
      <c r="D216" s="4"/>
      <c r="E216" s="4"/>
      <c r="F216" s="4"/>
      <c r="G216" s="72"/>
      <c r="H216" s="4"/>
      <c r="I216" s="72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</row>
    <row r="217" ht="12.75" customHeight="1">
      <c r="A217" s="4"/>
      <c r="B217" s="4"/>
      <c r="C217" s="4"/>
      <c r="D217" s="4"/>
      <c r="E217" s="4"/>
      <c r="F217" s="4"/>
      <c r="G217" s="72"/>
      <c r="H217" s="4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</row>
    <row r="218" ht="12.75" customHeight="1">
      <c r="A218" s="4"/>
      <c r="B218" s="4"/>
      <c r="C218" s="4"/>
      <c r="D218" s="4"/>
      <c r="E218" s="4"/>
      <c r="F218" s="4"/>
      <c r="G218" s="72"/>
      <c r="H218" s="4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</row>
    <row r="219" ht="12.75" customHeight="1">
      <c r="A219" s="4"/>
      <c r="B219" s="4"/>
      <c r="C219" s="4"/>
      <c r="D219" s="4"/>
      <c r="E219" s="4"/>
      <c r="F219" s="4"/>
      <c r="G219" s="72"/>
      <c r="H219" s="4"/>
      <c r="I219" s="72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</row>
    <row r="220" ht="12.75" customHeight="1">
      <c r="A220" s="4"/>
      <c r="B220" s="4"/>
      <c r="C220" s="4"/>
      <c r="D220" s="4"/>
      <c r="E220" s="4"/>
      <c r="F220" s="4"/>
      <c r="G220" s="72"/>
      <c r="H220" s="4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</row>
    <row r="221" ht="12.75" customHeight="1">
      <c r="A221" s="4"/>
      <c r="B221" s="4"/>
      <c r="C221" s="4"/>
      <c r="D221" s="4"/>
      <c r="E221" s="4"/>
      <c r="F221" s="4"/>
      <c r="G221" s="72"/>
      <c r="H221" s="4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</row>
    <row r="222" ht="12.75" customHeight="1">
      <c r="A222" s="4"/>
      <c r="B222" s="4"/>
      <c r="C222" s="4"/>
      <c r="D222" s="4"/>
      <c r="E222" s="4"/>
      <c r="F222" s="4"/>
      <c r="G222" s="72"/>
      <c r="H222" s="4"/>
      <c r="I222" s="7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</row>
    <row r="223" ht="12.75" customHeight="1">
      <c r="A223" s="4"/>
      <c r="B223" s="4"/>
      <c r="C223" s="4"/>
      <c r="D223" s="4"/>
      <c r="E223" s="4"/>
      <c r="F223" s="4"/>
      <c r="G223" s="72"/>
      <c r="H223" s="4"/>
      <c r="I223" s="7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</row>
    <row r="224" ht="12.75" customHeight="1">
      <c r="A224" s="4"/>
      <c r="B224" s="4"/>
      <c r="C224" s="4"/>
      <c r="D224" s="4"/>
      <c r="E224" s="4"/>
      <c r="F224" s="4"/>
      <c r="G224" s="72"/>
      <c r="H224" s="4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Y$945"/>
  <printOptions/>
  <pageMargins bottom="0.787401575" footer="0.0" header="0.0" left="0.511811024" right="0.511811024" top="0.7874015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8.43"/>
    <col customWidth="1" min="3" max="3" width="22.57"/>
    <col customWidth="1" min="4" max="4" width="24.29"/>
    <col customWidth="1" min="5" max="5" width="27.57"/>
    <col customWidth="1" min="6" max="6" width="43.71"/>
    <col customWidth="1" min="7" max="7" width="20.57"/>
    <col customWidth="1" min="8" max="8" width="9.14"/>
    <col customWidth="1" min="9" max="9" width="7.57"/>
    <col customWidth="1" min="10" max="10" width="7.14"/>
    <col customWidth="1" min="11" max="12" width="7.57"/>
    <col customWidth="1" min="13" max="13" width="15.43"/>
    <col customWidth="1" min="14" max="14" width="16.71"/>
    <col customWidth="1" min="15" max="19" width="8.14"/>
    <col customWidth="1" min="20" max="20" width="7.57"/>
    <col customWidth="1" min="21" max="26" width="8.14"/>
    <col customWidth="1" min="27" max="27" width="33.14"/>
    <col customWidth="1" min="28" max="28" width="11.43"/>
    <col customWidth="1" min="29" max="29" width="18.43"/>
    <col customWidth="1" min="30" max="30" width="12.0"/>
    <col customWidth="1" min="31" max="31" width="15.43"/>
    <col customWidth="1" min="32" max="32" width="17.43"/>
    <col customWidth="1" min="33" max="33" width="32.57"/>
    <col customWidth="1" min="34" max="34" width="11.71"/>
  </cols>
  <sheetData>
    <row r="1" ht="12.75" customHeight="1">
      <c r="A1" s="1" t="s">
        <v>322</v>
      </c>
      <c r="B1" s="1" t="s">
        <v>323</v>
      </c>
      <c r="C1" s="1" t="s">
        <v>0</v>
      </c>
      <c r="D1" s="1" t="s">
        <v>1</v>
      </c>
      <c r="E1" s="1" t="s">
        <v>227</v>
      </c>
      <c r="F1" s="1" t="s">
        <v>324</v>
      </c>
      <c r="G1" s="1" t="s">
        <v>325</v>
      </c>
      <c r="H1" s="1" t="s">
        <v>326</v>
      </c>
      <c r="I1" s="1" t="s">
        <v>327</v>
      </c>
      <c r="J1" s="1" t="s">
        <v>328</v>
      </c>
      <c r="K1" s="1" t="s">
        <v>329</v>
      </c>
      <c r="L1" s="1" t="s">
        <v>330</v>
      </c>
      <c r="M1" s="1" t="s">
        <v>331</v>
      </c>
      <c r="N1" s="104" t="s">
        <v>332</v>
      </c>
      <c r="O1" s="1" t="s">
        <v>326</v>
      </c>
      <c r="P1" s="1" t="s">
        <v>327</v>
      </c>
      <c r="Q1" s="1" t="s">
        <v>328</v>
      </c>
      <c r="R1" s="1" t="s">
        <v>329</v>
      </c>
      <c r="S1" s="1" t="s">
        <v>330</v>
      </c>
      <c r="T1" s="1" t="s">
        <v>333</v>
      </c>
      <c r="U1" s="1" t="s">
        <v>334</v>
      </c>
      <c r="V1" s="1" t="s">
        <v>335</v>
      </c>
      <c r="W1" s="1" t="s">
        <v>336</v>
      </c>
      <c r="X1" s="1" t="s">
        <v>337</v>
      </c>
      <c r="Y1" s="1" t="s">
        <v>338</v>
      </c>
      <c r="Z1" s="1" t="s">
        <v>339</v>
      </c>
      <c r="AA1" s="1" t="s">
        <v>340</v>
      </c>
      <c r="AB1" s="1" t="s">
        <v>341</v>
      </c>
      <c r="AC1" s="1" t="s">
        <v>342</v>
      </c>
      <c r="AD1" s="1" t="s">
        <v>343</v>
      </c>
      <c r="AE1" s="1" t="s">
        <v>344</v>
      </c>
      <c r="AF1" s="1" t="s">
        <v>345</v>
      </c>
      <c r="AG1" s="1" t="s">
        <v>346</v>
      </c>
      <c r="AH1" s="105" t="s">
        <v>347</v>
      </c>
    </row>
    <row r="2" ht="12.75" customHeight="1">
      <c r="A2" s="106" t="s">
        <v>348</v>
      </c>
      <c r="B2" s="106" t="s">
        <v>349</v>
      </c>
      <c r="C2" s="106" t="s">
        <v>350</v>
      </c>
      <c r="D2" s="106" t="s">
        <v>351</v>
      </c>
      <c r="E2" s="106"/>
      <c r="F2" s="106"/>
      <c r="G2" s="107">
        <v>747658.0</v>
      </c>
      <c r="H2" s="107">
        <v>33711.57</v>
      </c>
      <c r="I2" s="107">
        <v>205881.24</v>
      </c>
      <c r="J2" s="107">
        <v>-50622.33</v>
      </c>
      <c r="K2" s="107">
        <v>217341.29</v>
      </c>
      <c r="L2" s="107">
        <v>421516.21</v>
      </c>
      <c r="M2" s="107">
        <v>827827.98</v>
      </c>
      <c r="N2" s="107">
        <v>0.0</v>
      </c>
      <c r="O2" s="107">
        <v>249219.0</v>
      </c>
      <c r="P2" s="107">
        <v>249219.0</v>
      </c>
      <c r="Q2" s="107">
        <v>249219.0</v>
      </c>
      <c r="R2" s="107">
        <v>249219.0</v>
      </c>
      <c r="S2" s="107">
        <v>0.0</v>
      </c>
      <c r="T2" s="107">
        <v>0.0</v>
      </c>
      <c r="U2" s="107">
        <v>0.0</v>
      </c>
      <c r="V2" s="107">
        <v>0.0</v>
      </c>
      <c r="W2" s="107">
        <v>0.0</v>
      </c>
      <c r="X2" s="107">
        <v>0.0</v>
      </c>
      <c r="Y2" s="107">
        <v>0.0</v>
      </c>
      <c r="Z2" s="107">
        <v>0.0</v>
      </c>
      <c r="AA2" s="107"/>
      <c r="AB2" s="106" t="s">
        <v>352</v>
      </c>
      <c r="AC2" s="106" t="s">
        <v>353</v>
      </c>
      <c r="AD2" s="106" t="s">
        <v>354</v>
      </c>
      <c r="AE2" s="106" t="s">
        <v>355</v>
      </c>
      <c r="AF2" s="106" t="s">
        <v>356</v>
      </c>
      <c r="AG2" s="106"/>
      <c r="AH2" s="106"/>
    </row>
    <row r="3" ht="12.75" customHeight="1">
      <c r="A3" s="106" t="s">
        <v>348</v>
      </c>
      <c r="B3" s="106" t="s">
        <v>349</v>
      </c>
      <c r="C3" s="106" t="s">
        <v>357</v>
      </c>
      <c r="D3" s="106" t="s">
        <v>358</v>
      </c>
      <c r="E3" s="106"/>
      <c r="F3" s="106"/>
      <c r="G3" s="107">
        <v>1300000.0</v>
      </c>
      <c r="H3" s="107">
        <v>411498.32</v>
      </c>
      <c r="I3" s="107"/>
      <c r="J3" s="107"/>
      <c r="K3" s="107">
        <v>22845.74</v>
      </c>
      <c r="L3" s="107">
        <v>311809.5</v>
      </c>
      <c r="M3" s="107">
        <v>746153.56</v>
      </c>
      <c r="N3" s="107">
        <v>0.0</v>
      </c>
      <c r="O3" s="107">
        <v>260000.0</v>
      </c>
      <c r="P3" s="107">
        <v>260000.0</v>
      </c>
      <c r="Q3" s="107">
        <v>260000.0</v>
      </c>
      <c r="R3" s="107">
        <v>260000.0</v>
      </c>
      <c r="S3" s="107">
        <v>260000.0</v>
      </c>
      <c r="T3" s="107">
        <v>0.0</v>
      </c>
      <c r="U3" s="107">
        <v>0.0</v>
      </c>
      <c r="V3" s="107">
        <v>0.0</v>
      </c>
      <c r="W3" s="107">
        <v>0.0</v>
      </c>
      <c r="X3" s="107">
        <v>0.0</v>
      </c>
      <c r="Y3" s="107">
        <v>0.0</v>
      </c>
      <c r="Z3" s="107">
        <v>0.0</v>
      </c>
      <c r="AA3" s="106"/>
      <c r="AB3" s="106" t="s">
        <v>352</v>
      </c>
      <c r="AC3" s="106" t="s">
        <v>359</v>
      </c>
      <c r="AD3" s="106" t="s">
        <v>354</v>
      </c>
      <c r="AE3" s="106" t="s">
        <v>355</v>
      </c>
      <c r="AF3" s="106" t="s">
        <v>356</v>
      </c>
      <c r="AG3" s="106"/>
      <c r="AH3" s="106"/>
    </row>
    <row r="4" ht="12.75" customHeight="1">
      <c r="A4" s="106"/>
      <c r="B4" s="106" t="s">
        <v>349</v>
      </c>
      <c r="C4" s="106" t="s">
        <v>360</v>
      </c>
      <c r="D4" s="106" t="s">
        <v>361</v>
      </c>
      <c r="E4" s="106" t="s">
        <v>91</v>
      </c>
      <c r="F4" s="106"/>
      <c r="G4" s="107"/>
      <c r="H4" s="107"/>
      <c r="I4" s="107"/>
      <c r="J4" s="107"/>
      <c r="K4" s="107"/>
      <c r="L4" s="107"/>
      <c r="M4" s="107"/>
      <c r="N4" s="107">
        <f>SUM(T4:Z4)</f>
        <v>1830090</v>
      </c>
      <c r="O4" s="107"/>
      <c r="P4" s="107"/>
      <c r="Q4" s="107"/>
      <c r="R4" s="107"/>
      <c r="S4" s="107"/>
      <c r="T4" s="107">
        <v>0.0</v>
      </c>
      <c r="U4" s="107">
        <v>305015.0</v>
      </c>
      <c r="V4" s="107">
        <v>305015.0</v>
      </c>
      <c r="W4" s="107">
        <v>305015.0</v>
      </c>
      <c r="X4" s="107">
        <v>305015.0</v>
      </c>
      <c r="Y4" s="107">
        <v>305015.0</v>
      </c>
      <c r="Z4" s="107">
        <v>305015.0</v>
      </c>
      <c r="AA4" s="106"/>
      <c r="AB4" s="106"/>
      <c r="AC4" s="106"/>
      <c r="AD4" s="106" t="s">
        <v>354</v>
      </c>
      <c r="AE4" s="106" t="s">
        <v>355</v>
      </c>
      <c r="AF4" s="106" t="s">
        <v>356</v>
      </c>
      <c r="AG4" s="106"/>
      <c r="AH4" s="106"/>
    </row>
    <row r="5" ht="12.75" customHeight="1">
      <c r="A5" s="108" t="s">
        <v>362</v>
      </c>
      <c r="B5" s="108" t="s">
        <v>349</v>
      </c>
      <c r="C5" s="108" t="s">
        <v>10</v>
      </c>
      <c r="D5" s="108" t="s">
        <v>11</v>
      </c>
      <c r="E5" s="108" t="s">
        <v>207</v>
      </c>
      <c r="F5" s="108" t="s">
        <v>363</v>
      </c>
      <c r="G5" s="109">
        <v>1378600.0</v>
      </c>
      <c r="H5" s="109"/>
      <c r="I5" s="109">
        <v>24328.92</v>
      </c>
      <c r="J5" s="109">
        <v>21372.0</v>
      </c>
      <c r="K5" s="109">
        <v>165788.04</v>
      </c>
      <c r="L5" s="109">
        <v>262365.65</v>
      </c>
      <c r="M5" s="109">
        <v>473854.61</v>
      </c>
      <c r="N5" s="109">
        <v>904745.03</v>
      </c>
      <c r="O5" s="109"/>
      <c r="P5" s="109">
        <v>-24328.92</v>
      </c>
      <c r="Q5" s="109">
        <v>-21372.0</v>
      </c>
      <c r="R5" s="109">
        <v>-165788.04</v>
      </c>
      <c r="S5" s="109">
        <v>-262365.65</v>
      </c>
      <c r="T5" s="109">
        <v>129249.29</v>
      </c>
      <c r="U5" s="109">
        <v>129249.29</v>
      </c>
      <c r="V5" s="109">
        <v>129249.29</v>
      </c>
      <c r="W5" s="109">
        <v>129249.29</v>
      </c>
      <c r="X5" s="109">
        <v>129249.29</v>
      </c>
      <c r="Y5" s="109">
        <v>129249.29</v>
      </c>
      <c r="Z5" s="109">
        <v>129249.29</v>
      </c>
      <c r="AA5" s="108"/>
      <c r="AB5" s="108" t="s">
        <v>352</v>
      </c>
      <c r="AC5" s="108" t="s">
        <v>352</v>
      </c>
      <c r="AD5" s="108" t="s">
        <v>354</v>
      </c>
      <c r="AE5" s="108" t="s">
        <v>355</v>
      </c>
      <c r="AF5" s="108" t="s">
        <v>364</v>
      </c>
      <c r="AG5" s="108" t="s">
        <v>365</v>
      </c>
      <c r="AH5" s="108"/>
    </row>
    <row r="6" ht="12.75" customHeight="1">
      <c r="A6" s="108"/>
      <c r="B6" s="108" t="s">
        <v>349</v>
      </c>
      <c r="C6" s="108" t="s">
        <v>7</v>
      </c>
      <c r="D6" s="108" t="s">
        <v>8</v>
      </c>
      <c r="E6" s="110" t="s">
        <v>191</v>
      </c>
      <c r="F6" s="108" t="s">
        <v>363</v>
      </c>
      <c r="G6" s="109">
        <v>5680000.0</v>
      </c>
      <c r="H6" s="109">
        <v>62326.64</v>
      </c>
      <c r="I6" s="109">
        <v>56072.52</v>
      </c>
      <c r="J6" s="109">
        <v>77746.08</v>
      </c>
      <c r="K6" s="109">
        <v>41801.39</v>
      </c>
      <c r="L6" s="109">
        <v>380933.63</v>
      </c>
      <c r="M6" s="109">
        <v>618880.26</v>
      </c>
      <c r="N6" s="109">
        <v>2722650.0</v>
      </c>
      <c r="O6" s="109">
        <v>-386950.0</v>
      </c>
      <c r="P6" s="109">
        <v>-386950.0</v>
      </c>
      <c r="Q6" s="109">
        <v>-386950.0</v>
      </c>
      <c r="R6" s="109">
        <v>-386950.0</v>
      </c>
      <c r="S6" s="109">
        <v>-386950.0</v>
      </c>
      <c r="T6" s="109">
        <v>388950.0</v>
      </c>
      <c r="U6" s="109">
        <v>388950.0</v>
      </c>
      <c r="V6" s="109">
        <v>388950.0</v>
      </c>
      <c r="W6" s="109">
        <v>388950.0</v>
      </c>
      <c r="X6" s="109">
        <v>388950.0</v>
      </c>
      <c r="Y6" s="109">
        <v>388950.0</v>
      </c>
      <c r="Z6" s="109">
        <v>388950.0</v>
      </c>
      <c r="AA6" s="109"/>
      <c r="AB6" s="108" t="s">
        <v>352</v>
      </c>
      <c r="AC6" s="108" t="s">
        <v>366</v>
      </c>
      <c r="AD6" s="108" t="s">
        <v>354</v>
      </c>
      <c r="AE6" s="108" t="s">
        <v>355</v>
      </c>
      <c r="AF6" s="108" t="s">
        <v>356</v>
      </c>
      <c r="AG6" s="108"/>
      <c r="AH6" s="108"/>
    </row>
    <row r="7" ht="12.75" customHeight="1">
      <c r="A7" s="111" t="s">
        <v>367</v>
      </c>
      <c r="B7" s="111" t="s">
        <v>349</v>
      </c>
      <c r="C7" s="111" t="s">
        <v>368</v>
      </c>
      <c r="D7" s="111" t="s">
        <v>369</v>
      </c>
      <c r="E7" s="111" t="s">
        <v>91</v>
      </c>
      <c r="F7" s="111" t="s">
        <v>363</v>
      </c>
      <c r="G7" s="112">
        <v>74500.0</v>
      </c>
      <c r="H7" s="112"/>
      <c r="I7" s="112"/>
      <c r="J7" s="112"/>
      <c r="K7" s="112"/>
      <c r="L7" s="112"/>
      <c r="M7" s="112"/>
      <c r="N7" s="112">
        <v>100000.0</v>
      </c>
      <c r="O7" s="112"/>
      <c r="P7" s="112"/>
      <c r="Q7" s="112"/>
      <c r="R7" s="112"/>
      <c r="S7" s="112"/>
      <c r="T7" s="112">
        <v>25000.0</v>
      </c>
      <c r="U7" s="112">
        <v>25000.0</v>
      </c>
      <c r="V7" s="112">
        <v>25000.0</v>
      </c>
      <c r="W7" s="112">
        <v>25000.0</v>
      </c>
      <c r="X7" s="112">
        <v>0.0</v>
      </c>
      <c r="Y7" s="112">
        <v>0.0</v>
      </c>
      <c r="Z7" s="112">
        <v>0.0</v>
      </c>
      <c r="AA7" s="111"/>
      <c r="AB7" s="111" t="s">
        <v>352</v>
      </c>
      <c r="AC7" s="111" t="s">
        <v>352</v>
      </c>
      <c r="AD7" s="111" t="s">
        <v>354</v>
      </c>
      <c r="AE7" s="111" t="s">
        <v>355</v>
      </c>
      <c r="AF7" s="111" t="s">
        <v>356</v>
      </c>
      <c r="AG7" s="111"/>
      <c r="AH7" s="111"/>
    </row>
    <row r="8" ht="12.75" customHeight="1">
      <c r="A8" s="111" t="s">
        <v>367</v>
      </c>
      <c r="B8" s="111" t="s">
        <v>349</v>
      </c>
      <c r="C8" s="111" t="s">
        <v>370</v>
      </c>
      <c r="D8" s="111" t="s">
        <v>371</v>
      </c>
      <c r="E8" s="111" t="s">
        <v>91</v>
      </c>
      <c r="F8" s="111" t="s">
        <v>363</v>
      </c>
      <c r="G8" s="112">
        <v>74500.0</v>
      </c>
      <c r="H8" s="112"/>
      <c r="I8" s="112"/>
      <c r="J8" s="112">
        <v>30612.8</v>
      </c>
      <c r="K8" s="112">
        <v>15991.68</v>
      </c>
      <c r="L8" s="112">
        <v>29358.91</v>
      </c>
      <c r="M8" s="112"/>
      <c r="N8" s="112">
        <v>100000.0</v>
      </c>
      <c r="O8" s="112"/>
      <c r="P8" s="112"/>
      <c r="Q8" s="112"/>
      <c r="R8" s="112"/>
      <c r="S8" s="112"/>
      <c r="T8" s="112">
        <v>25000.0</v>
      </c>
      <c r="U8" s="112">
        <v>25000.0</v>
      </c>
      <c r="V8" s="112">
        <v>25000.0</v>
      </c>
      <c r="W8" s="112">
        <v>25000.0</v>
      </c>
      <c r="X8" s="112">
        <v>0.0</v>
      </c>
      <c r="Y8" s="112">
        <v>0.0</v>
      </c>
      <c r="Z8" s="112">
        <v>0.0</v>
      </c>
      <c r="AA8" s="111"/>
      <c r="AB8" s="111" t="s">
        <v>352</v>
      </c>
      <c r="AC8" s="111" t="s">
        <v>352</v>
      </c>
      <c r="AD8" s="111" t="s">
        <v>354</v>
      </c>
      <c r="AE8" s="111" t="s">
        <v>355</v>
      </c>
      <c r="AF8" s="111" t="s">
        <v>356</v>
      </c>
      <c r="AG8" s="111"/>
      <c r="AH8" s="111"/>
    </row>
    <row r="9" ht="12.75" customHeight="1">
      <c r="A9" s="108"/>
      <c r="B9" s="108" t="s">
        <v>349</v>
      </c>
      <c r="C9" s="108" t="s">
        <v>14</v>
      </c>
      <c r="D9" s="108" t="s">
        <v>372</v>
      </c>
      <c r="E9" s="108" t="s">
        <v>91</v>
      </c>
      <c r="F9" s="108" t="s">
        <v>363</v>
      </c>
      <c r="G9" s="109"/>
      <c r="H9" s="109"/>
      <c r="I9" s="109"/>
      <c r="J9" s="109"/>
      <c r="K9" s="109"/>
      <c r="L9" s="109"/>
      <c r="M9" s="109"/>
      <c r="N9" s="109">
        <v>1630090.0</v>
      </c>
      <c r="O9" s="109"/>
      <c r="P9" s="109"/>
      <c r="Q9" s="109"/>
      <c r="R9" s="109"/>
      <c r="S9" s="109"/>
      <c r="T9" s="109">
        <f t="shared" ref="T9:Z9" si="1">T4-(T7+T8)</f>
        <v>-50000</v>
      </c>
      <c r="U9" s="109">
        <f t="shared" si="1"/>
        <v>255015</v>
      </c>
      <c r="V9" s="109">
        <f t="shared" si="1"/>
        <v>255015</v>
      </c>
      <c r="W9" s="109">
        <f t="shared" si="1"/>
        <v>255015</v>
      </c>
      <c r="X9" s="109">
        <f t="shared" si="1"/>
        <v>305015</v>
      </c>
      <c r="Y9" s="109">
        <f t="shared" si="1"/>
        <v>305015</v>
      </c>
      <c r="Z9" s="109">
        <f t="shared" si="1"/>
        <v>305015</v>
      </c>
      <c r="AA9" s="108"/>
      <c r="AB9" s="108"/>
      <c r="AC9" s="108"/>
      <c r="AD9" s="108" t="s">
        <v>354</v>
      </c>
      <c r="AE9" s="108" t="s">
        <v>355</v>
      </c>
      <c r="AF9" s="108" t="s">
        <v>356</v>
      </c>
      <c r="AG9" s="108"/>
      <c r="AH9" s="108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113">
        <f>N7+N8+N9</f>
        <v>1830090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ht="15.75" customHeight="1">
      <c r="A14" s="4"/>
      <c r="B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ht="15.75" customHeight="1">
      <c r="A15" s="4"/>
      <c r="B15" s="4"/>
      <c r="C15" s="4"/>
      <c r="D15" s="4"/>
      <c r="E15" s="4"/>
      <c r="F15" s="4"/>
      <c r="G15" s="4"/>
      <c r="H15" s="113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ht="12.75" customHeight="1">
      <c r="A16" s="4"/>
      <c r="B16" s="4"/>
      <c r="C16" s="4"/>
      <c r="D16" s="4"/>
      <c r="E16" s="4"/>
      <c r="F16" s="4" t="s">
        <v>373</v>
      </c>
      <c r="G16" s="4" t="s">
        <v>6</v>
      </c>
      <c r="H16" s="113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ht="12.75" customHeight="1">
      <c r="A17" s="4"/>
      <c r="B17" s="4"/>
      <c r="C17" s="4" t="s">
        <v>14</v>
      </c>
      <c r="D17" s="4" t="s">
        <v>15</v>
      </c>
      <c r="E17" s="4"/>
      <c r="F17" s="114">
        <v>196499.0</v>
      </c>
      <c r="G17" s="114">
        <v>3955366.0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ht="12.75" customHeight="1">
      <c r="A18" s="4"/>
      <c r="B18" s="4"/>
      <c r="C18" s="115" t="s">
        <v>12</v>
      </c>
      <c r="D18" s="4" t="s">
        <v>13</v>
      </c>
      <c r="E18" s="4"/>
      <c r="F18" s="114"/>
      <c r="G18" s="114">
        <v>1865718.0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</row>
    <row r="22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</row>
    <row r="23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</row>
    <row r="24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</row>
    <row r="25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</row>
    <row r="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86"/>
    <col customWidth="1" min="2" max="2" width="13.14"/>
    <col customWidth="1" min="3" max="3" width="20.29"/>
    <col customWidth="1" min="4" max="4" width="19.43"/>
    <col customWidth="1" min="5" max="5" width="8.14"/>
    <col customWidth="1" min="6" max="6" width="12.57"/>
    <col customWidth="1" min="7" max="7" width="15.14"/>
    <col customWidth="1" min="8" max="8" width="21.43"/>
    <col customWidth="1" min="9" max="9" width="60.57"/>
    <col customWidth="1" min="10" max="10" width="46.43"/>
    <col customWidth="1" min="11" max="26" width="60.57"/>
  </cols>
  <sheetData>
    <row r="1">
      <c r="A1" s="116" t="s">
        <v>374</v>
      </c>
      <c r="B1" s="116" t="s">
        <v>375</v>
      </c>
      <c r="C1" s="116" t="s">
        <v>376</v>
      </c>
      <c r="D1" s="116" t="s">
        <v>377</v>
      </c>
      <c r="E1" s="116" t="s">
        <v>378</v>
      </c>
      <c r="F1" s="116" t="s">
        <v>379</v>
      </c>
      <c r="G1" s="117" t="s">
        <v>380</v>
      </c>
      <c r="H1" s="116" t="s">
        <v>381</v>
      </c>
      <c r="I1" s="116" t="s">
        <v>231</v>
      </c>
      <c r="J1" s="116" t="s">
        <v>342</v>
      </c>
      <c r="K1" s="116" t="s">
        <v>382</v>
      </c>
      <c r="L1" s="116" t="s">
        <v>383</v>
      </c>
      <c r="M1" s="116" t="s">
        <v>384</v>
      </c>
      <c r="N1" s="116" t="s">
        <v>385</v>
      </c>
      <c r="O1" s="116" t="s">
        <v>347</v>
      </c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</row>
    <row r="2">
      <c r="A2" s="118" t="s">
        <v>19</v>
      </c>
      <c r="B2" s="118" t="s">
        <v>352</v>
      </c>
      <c r="C2" s="118" t="s">
        <v>78</v>
      </c>
      <c r="D2" s="118" t="s">
        <v>386</v>
      </c>
      <c r="E2" s="118">
        <v>2701.0</v>
      </c>
      <c r="F2" s="119">
        <v>45699.0</v>
      </c>
      <c r="G2" s="120">
        <v>191611.98</v>
      </c>
      <c r="H2" s="119">
        <v>45759.0</v>
      </c>
      <c r="I2" s="118" t="s">
        <v>387</v>
      </c>
      <c r="J2" s="118" t="s">
        <v>388</v>
      </c>
      <c r="K2" s="118" t="s">
        <v>389</v>
      </c>
      <c r="L2" s="118" t="s">
        <v>386</v>
      </c>
      <c r="M2" s="118"/>
      <c r="N2" s="118" t="s">
        <v>390</v>
      </c>
      <c r="O2" s="118" t="s">
        <v>391</v>
      </c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>
      <c r="A3" s="118" t="s">
        <v>19</v>
      </c>
      <c r="B3" s="118" t="s">
        <v>352</v>
      </c>
      <c r="C3" s="118" t="s">
        <v>78</v>
      </c>
      <c r="D3" s="118" t="s">
        <v>386</v>
      </c>
      <c r="E3" s="118">
        <v>2702.0</v>
      </c>
      <c r="F3" s="119">
        <v>45699.0</v>
      </c>
      <c r="G3" s="120">
        <v>24607.42</v>
      </c>
      <c r="H3" s="119">
        <v>45759.0</v>
      </c>
      <c r="I3" s="118" t="s">
        <v>387</v>
      </c>
      <c r="J3" s="118" t="s">
        <v>388</v>
      </c>
      <c r="K3" s="118" t="s">
        <v>389</v>
      </c>
      <c r="L3" s="118" t="s">
        <v>386</v>
      </c>
      <c r="M3" s="118"/>
      <c r="N3" s="118" t="s">
        <v>390</v>
      </c>
      <c r="O3" s="118" t="s">
        <v>392</v>
      </c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>
      <c r="A4" s="118" t="s">
        <v>19</v>
      </c>
      <c r="B4" s="118" t="s">
        <v>352</v>
      </c>
      <c r="C4" s="118" t="s">
        <v>81</v>
      </c>
      <c r="D4" s="118" t="s">
        <v>386</v>
      </c>
      <c r="E4" s="118">
        <v>2753.0</v>
      </c>
      <c r="F4" s="119">
        <v>45727.0</v>
      </c>
      <c r="G4" s="120">
        <v>303490.65</v>
      </c>
      <c r="H4" s="119">
        <v>45787.0</v>
      </c>
      <c r="I4" s="118" t="s">
        <v>387</v>
      </c>
      <c r="J4" s="118" t="s">
        <v>388</v>
      </c>
      <c r="K4" s="118" t="s">
        <v>389</v>
      </c>
      <c r="L4" s="118" t="s">
        <v>386</v>
      </c>
      <c r="M4" s="118"/>
      <c r="N4" s="118" t="s">
        <v>390</v>
      </c>
      <c r="O4" s="118" t="s">
        <v>391</v>
      </c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>
      <c r="A5" s="118" t="s">
        <v>19</v>
      </c>
      <c r="B5" s="118" t="s">
        <v>352</v>
      </c>
      <c r="C5" s="118" t="s">
        <v>82</v>
      </c>
      <c r="D5" s="118" t="s">
        <v>386</v>
      </c>
      <c r="E5" s="118">
        <v>2791.0</v>
      </c>
      <c r="F5" s="119">
        <v>45749.0</v>
      </c>
      <c r="G5" s="120">
        <v>212597.4</v>
      </c>
      <c r="H5" s="119">
        <v>45809.0</v>
      </c>
      <c r="I5" s="118" t="s">
        <v>387</v>
      </c>
      <c r="J5" s="118" t="s">
        <v>388</v>
      </c>
      <c r="K5" s="118" t="s">
        <v>389</v>
      </c>
      <c r="L5" s="118" t="s">
        <v>386</v>
      </c>
      <c r="M5" s="118"/>
      <c r="N5" s="118" t="s">
        <v>390</v>
      </c>
      <c r="O5" s="118" t="s">
        <v>393</v>
      </c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>
      <c r="A6" s="118" t="s">
        <v>19</v>
      </c>
      <c r="B6" s="121" t="s">
        <v>394</v>
      </c>
      <c r="C6" s="118" t="s">
        <v>82</v>
      </c>
      <c r="D6" s="121"/>
      <c r="E6" s="118">
        <v>2804.0</v>
      </c>
      <c r="F6" s="119">
        <v>45755.0</v>
      </c>
      <c r="G6" s="120">
        <v>24920.0</v>
      </c>
      <c r="H6" s="119">
        <v>45815.0</v>
      </c>
      <c r="I6" s="121"/>
      <c r="J6" s="121"/>
      <c r="K6" s="121"/>
      <c r="L6" s="121"/>
      <c r="M6" s="118"/>
      <c r="N6" s="118" t="s">
        <v>390</v>
      </c>
      <c r="O6" s="118" t="s">
        <v>395</v>
      </c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>
      <c r="A7" s="118" t="s">
        <v>19</v>
      </c>
      <c r="B7" s="118" t="s">
        <v>352</v>
      </c>
      <c r="C7" s="118" t="s">
        <v>83</v>
      </c>
      <c r="D7" s="118" t="s">
        <v>386</v>
      </c>
      <c r="E7" s="118">
        <v>2838.0</v>
      </c>
      <c r="F7" s="119">
        <v>45783.0</v>
      </c>
      <c r="G7" s="120">
        <v>284824.47</v>
      </c>
      <c r="H7" s="119">
        <v>45843.0</v>
      </c>
      <c r="I7" s="118" t="s">
        <v>387</v>
      </c>
      <c r="J7" s="118" t="s">
        <v>388</v>
      </c>
      <c r="K7" s="118" t="s">
        <v>389</v>
      </c>
      <c r="L7" s="118" t="s">
        <v>386</v>
      </c>
      <c r="M7" s="118"/>
      <c r="N7" s="118" t="s">
        <v>390</v>
      </c>
      <c r="O7" s="118" t="s">
        <v>396</v>
      </c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>
      <c r="A8" s="118" t="s">
        <v>19</v>
      </c>
      <c r="B8" s="118" t="s">
        <v>352</v>
      </c>
      <c r="C8" s="118" t="s">
        <v>85</v>
      </c>
      <c r="D8" s="118" t="s">
        <v>386</v>
      </c>
      <c r="E8" s="118">
        <v>2886.0</v>
      </c>
      <c r="F8" s="119">
        <v>45811.0</v>
      </c>
      <c r="G8" s="120">
        <v>32224.0</v>
      </c>
      <c r="H8" s="119">
        <v>45871.0</v>
      </c>
      <c r="I8" s="118" t="s">
        <v>387</v>
      </c>
      <c r="J8" s="118" t="s">
        <v>388</v>
      </c>
      <c r="K8" s="118" t="s">
        <v>389</v>
      </c>
      <c r="L8" s="118" t="s">
        <v>386</v>
      </c>
      <c r="M8" s="118"/>
      <c r="N8" s="118" t="s">
        <v>390</v>
      </c>
      <c r="O8" s="118" t="s">
        <v>397</v>
      </c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>
      <c r="A9" s="118" t="s">
        <v>19</v>
      </c>
      <c r="B9" s="118" t="s">
        <v>352</v>
      </c>
      <c r="C9" s="118" t="s">
        <v>85</v>
      </c>
      <c r="D9" s="118" t="s">
        <v>386</v>
      </c>
      <c r="E9" s="118">
        <v>2887.0</v>
      </c>
      <c r="F9" s="119">
        <v>45811.0</v>
      </c>
      <c r="G9" s="120">
        <v>283830.3</v>
      </c>
      <c r="H9" s="119">
        <v>45871.0</v>
      </c>
      <c r="I9" s="118" t="s">
        <v>387</v>
      </c>
      <c r="J9" s="118" t="s">
        <v>388</v>
      </c>
      <c r="K9" s="118" t="s">
        <v>389</v>
      </c>
      <c r="L9" s="118" t="s">
        <v>386</v>
      </c>
      <c r="M9" s="118"/>
      <c r="N9" s="118" t="s">
        <v>390</v>
      </c>
      <c r="O9" s="118" t="s">
        <v>398</v>
      </c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>
      <c r="A10" s="118" t="s">
        <v>28</v>
      </c>
      <c r="B10" s="118" t="s">
        <v>352</v>
      </c>
      <c r="C10" s="118" t="s">
        <v>87</v>
      </c>
      <c r="D10" s="118" t="s">
        <v>386</v>
      </c>
      <c r="E10" s="118">
        <v>145286.0</v>
      </c>
      <c r="F10" s="119">
        <v>45701.0</v>
      </c>
      <c r="G10" s="120">
        <v>131897.28</v>
      </c>
      <c r="H10" s="119">
        <v>45746.0</v>
      </c>
      <c r="I10" s="122" t="s">
        <v>7</v>
      </c>
      <c r="J10" s="118" t="s">
        <v>399</v>
      </c>
      <c r="K10" s="118" t="s">
        <v>400</v>
      </c>
      <c r="L10" s="121"/>
      <c r="M10" s="121"/>
      <c r="N10" s="121"/>
      <c r="O10" s="118" t="s">
        <v>401</v>
      </c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>
      <c r="A11" s="118" t="s">
        <v>28</v>
      </c>
      <c r="B11" s="118" t="s">
        <v>352</v>
      </c>
      <c r="C11" s="118" t="s">
        <v>88</v>
      </c>
      <c r="D11" s="118" t="s">
        <v>386</v>
      </c>
      <c r="E11" s="118">
        <v>145885.0</v>
      </c>
      <c r="F11" s="119">
        <v>45729.0</v>
      </c>
      <c r="G11" s="120">
        <v>88245.42</v>
      </c>
      <c r="H11" s="119">
        <v>45774.0</v>
      </c>
      <c r="I11" s="118" t="s">
        <v>402</v>
      </c>
      <c r="J11" s="118" t="s">
        <v>403</v>
      </c>
      <c r="K11" s="118" t="s">
        <v>404</v>
      </c>
      <c r="L11" s="121"/>
      <c r="M11" s="121"/>
      <c r="N11" s="121"/>
      <c r="O11" s="118" t="s">
        <v>405</v>
      </c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>
      <c r="A12" s="118" t="s">
        <v>28</v>
      </c>
      <c r="B12" s="118" t="s">
        <v>352</v>
      </c>
      <c r="C12" s="118" t="s">
        <v>89</v>
      </c>
      <c r="D12" s="118" t="s">
        <v>386</v>
      </c>
      <c r="E12" s="121"/>
      <c r="F12" s="123"/>
      <c r="G12" s="120" t="s">
        <v>406</v>
      </c>
      <c r="H12" s="123"/>
      <c r="I12" s="118" t="s">
        <v>407</v>
      </c>
      <c r="J12" s="118" t="s">
        <v>408</v>
      </c>
      <c r="K12" s="118" t="s">
        <v>409</v>
      </c>
      <c r="L12" s="121"/>
      <c r="M12" s="121"/>
      <c r="N12" s="121"/>
      <c r="O12" s="118" t="s">
        <v>410</v>
      </c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>
      <c r="A13" s="118" t="s">
        <v>28</v>
      </c>
      <c r="B13" s="118" t="s">
        <v>352</v>
      </c>
      <c r="C13" s="118" t="s">
        <v>89</v>
      </c>
      <c r="D13" s="118" t="s">
        <v>386</v>
      </c>
      <c r="E13" s="121"/>
      <c r="F13" s="123"/>
      <c r="G13" s="120" t="s">
        <v>411</v>
      </c>
      <c r="H13" s="123"/>
      <c r="I13" s="118" t="s">
        <v>402</v>
      </c>
      <c r="J13" s="118" t="s">
        <v>403</v>
      </c>
      <c r="K13" s="118" t="s">
        <v>404</v>
      </c>
      <c r="L13" s="121"/>
      <c r="M13" s="121"/>
      <c r="N13" s="121"/>
      <c r="O13" s="118" t="s">
        <v>410</v>
      </c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>
      <c r="A14" s="118" t="s">
        <v>28</v>
      </c>
      <c r="B14" s="118" t="s">
        <v>352</v>
      </c>
      <c r="C14" s="118" t="s">
        <v>92</v>
      </c>
      <c r="D14" s="118" t="s">
        <v>386</v>
      </c>
      <c r="E14" s="118">
        <v>147368.0</v>
      </c>
      <c r="F14" s="119">
        <v>45789.0</v>
      </c>
      <c r="G14" s="120">
        <v>89693.94</v>
      </c>
      <c r="H14" s="119">
        <v>45834.0</v>
      </c>
      <c r="I14" s="118" t="s">
        <v>407</v>
      </c>
      <c r="J14" s="118" t="s">
        <v>408</v>
      </c>
      <c r="K14" s="118" t="s">
        <v>409</v>
      </c>
      <c r="L14" s="118" t="s">
        <v>386</v>
      </c>
      <c r="M14" s="118"/>
      <c r="N14" s="118" t="s">
        <v>390</v>
      </c>
      <c r="O14" s="118" t="s">
        <v>412</v>
      </c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>
      <c r="A15" s="118" t="s">
        <v>28</v>
      </c>
      <c r="B15" s="118" t="s">
        <v>352</v>
      </c>
      <c r="C15" s="118" t="s">
        <v>92</v>
      </c>
      <c r="D15" s="118" t="s">
        <v>386</v>
      </c>
      <c r="E15" s="121">
        <v>147373.0</v>
      </c>
      <c r="F15" s="123">
        <v>45789.0</v>
      </c>
      <c r="G15" s="120">
        <v>77929.2</v>
      </c>
      <c r="H15" s="119">
        <v>45834.0</v>
      </c>
      <c r="I15" s="118" t="s">
        <v>402</v>
      </c>
      <c r="J15" s="118" t="s">
        <v>403</v>
      </c>
      <c r="K15" s="118" t="s">
        <v>404</v>
      </c>
      <c r="L15" s="118" t="s">
        <v>386</v>
      </c>
      <c r="M15" s="118"/>
      <c r="N15" s="118" t="s">
        <v>390</v>
      </c>
      <c r="O15" s="118" t="s">
        <v>413</v>
      </c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>
      <c r="A16" s="118" t="s">
        <v>28</v>
      </c>
      <c r="B16" s="118" t="s">
        <v>352</v>
      </c>
      <c r="C16" s="118" t="s">
        <v>85</v>
      </c>
      <c r="D16" s="118" t="s">
        <v>386</v>
      </c>
      <c r="E16" s="118">
        <v>148462.0</v>
      </c>
      <c r="F16" s="119">
        <v>45819.0</v>
      </c>
      <c r="G16" s="120">
        <v>121633.02</v>
      </c>
      <c r="H16" s="119">
        <v>45864.0</v>
      </c>
      <c r="I16" s="118" t="s">
        <v>414</v>
      </c>
      <c r="J16" s="118" t="s">
        <v>403</v>
      </c>
      <c r="K16" s="118" t="s">
        <v>404</v>
      </c>
      <c r="L16" s="118" t="s">
        <v>386</v>
      </c>
      <c r="M16" s="118"/>
      <c r="N16" s="118" t="s">
        <v>390</v>
      </c>
      <c r="O16" s="118" t="s">
        <v>415</v>
      </c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>
      <c r="A17" s="118" t="s">
        <v>28</v>
      </c>
      <c r="B17" s="118" t="s">
        <v>352</v>
      </c>
      <c r="C17" s="118" t="s">
        <v>85</v>
      </c>
      <c r="D17" s="118" t="s">
        <v>386</v>
      </c>
      <c r="E17" s="118">
        <v>148457.0</v>
      </c>
      <c r="F17" s="119">
        <v>45819.0</v>
      </c>
      <c r="G17" s="120">
        <v>200222.04</v>
      </c>
      <c r="H17" s="119">
        <v>45864.0</v>
      </c>
      <c r="I17" s="118" t="s">
        <v>407</v>
      </c>
      <c r="J17" s="118" t="s">
        <v>408</v>
      </c>
      <c r="K17" s="118" t="s">
        <v>409</v>
      </c>
      <c r="L17" s="118" t="s">
        <v>386</v>
      </c>
      <c r="M17" s="118"/>
      <c r="N17" s="118" t="s">
        <v>390</v>
      </c>
      <c r="O17" s="118" t="s">
        <v>416</v>
      </c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>
      <c r="A18" s="118" t="s">
        <v>64</v>
      </c>
      <c r="B18" s="118" t="s">
        <v>352</v>
      </c>
      <c r="C18" s="124">
        <v>45717.0</v>
      </c>
      <c r="D18" s="118" t="s">
        <v>386</v>
      </c>
      <c r="E18" s="118">
        <v>763.0</v>
      </c>
      <c r="F18" s="119">
        <v>45755.0</v>
      </c>
      <c r="G18" s="120">
        <v>41333.04</v>
      </c>
      <c r="H18" s="119">
        <v>45785.0</v>
      </c>
      <c r="I18" s="118" t="s">
        <v>414</v>
      </c>
      <c r="J18" s="118" t="s">
        <v>403</v>
      </c>
      <c r="K18" s="118" t="s">
        <v>417</v>
      </c>
      <c r="L18" s="118" t="s">
        <v>386</v>
      </c>
      <c r="M18" s="118"/>
      <c r="N18" s="118" t="s">
        <v>390</v>
      </c>
      <c r="O18" s="118" t="s">
        <v>410</v>
      </c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>
      <c r="A19" s="118" t="s">
        <v>64</v>
      </c>
      <c r="B19" s="118" t="s">
        <v>352</v>
      </c>
      <c r="C19" s="118" t="s">
        <v>85</v>
      </c>
      <c r="D19" s="118" t="s">
        <v>386</v>
      </c>
      <c r="E19" s="118">
        <v>883.0</v>
      </c>
      <c r="F19" s="119">
        <v>45818.0</v>
      </c>
      <c r="G19" s="120">
        <v>38556.0</v>
      </c>
      <c r="H19" s="119">
        <v>45848.0</v>
      </c>
      <c r="I19" s="118" t="s">
        <v>414</v>
      </c>
      <c r="J19" s="118" t="s">
        <v>403</v>
      </c>
      <c r="K19" s="118" t="s">
        <v>418</v>
      </c>
      <c r="L19" s="118" t="s">
        <v>386</v>
      </c>
      <c r="M19" s="118"/>
      <c r="N19" s="118" t="s">
        <v>390</v>
      </c>
      <c r="O19" s="118" t="s">
        <v>419</v>
      </c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>
      <c r="A20" s="118" t="s">
        <v>64</v>
      </c>
      <c r="B20" s="118" t="s">
        <v>352</v>
      </c>
      <c r="C20" s="118" t="s">
        <v>85</v>
      </c>
      <c r="D20" s="118" t="s">
        <v>386</v>
      </c>
      <c r="E20" s="118">
        <v>884.0</v>
      </c>
      <c r="F20" s="119">
        <v>45818.0</v>
      </c>
      <c r="G20" s="120">
        <v>54864.69</v>
      </c>
      <c r="H20" s="119">
        <v>45848.0</v>
      </c>
      <c r="I20" s="118" t="s">
        <v>414</v>
      </c>
      <c r="J20" s="118" t="s">
        <v>403</v>
      </c>
      <c r="K20" s="118" t="s">
        <v>417</v>
      </c>
      <c r="L20" s="118" t="s">
        <v>386</v>
      </c>
      <c r="M20" s="118"/>
      <c r="N20" s="118" t="s">
        <v>390</v>
      </c>
      <c r="O20" s="118" t="s">
        <v>420</v>
      </c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 ht="15.75" customHeight="1">
      <c r="A21" s="118" t="s">
        <v>421</v>
      </c>
      <c r="B21" s="118" t="s">
        <v>422</v>
      </c>
      <c r="C21" s="124">
        <v>45717.0</v>
      </c>
      <c r="D21" s="118" t="s">
        <v>386</v>
      </c>
      <c r="E21" s="118">
        <v>28622.0</v>
      </c>
      <c r="F21" s="119">
        <v>45726.0</v>
      </c>
      <c r="G21" s="120">
        <v>37432.03</v>
      </c>
      <c r="H21" s="119">
        <v>45757.0</v>
      </c>
      <c r="I21" s="121"/>
      <c r="J21" s="118" t="s">
        <v>423</v>
      </c>
      <c r="K21" s="121"/>
      <c r="L21" s="121"/>
      <c r="M21" s="121"/>
      <c r="N21" s="121"/>
      <c r="O21" s="118" t="s">
        <v>424</v>
      </c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 ht="15.75" customHeight="1">
      <c r="A22" s="118" t="s">
        <v>425</v>
      </c>
      <c r="B22" s="118" t="s">
        <v>352</v>
      </c>
      <c r="C22" s="124">
        <v>45778.0</v>
      </c>
      <c r="D22" s="118" t="s">
        <v>386</v>
      </c>
      <c r="E22" s="118">
        <v>80531.0</v>
      </c>
      <c r="F22" s="119">
        <v>45817.0</v>
      </c>
      <c r="G22" s="120">
        <v>23016.0</v>
      </c>
      <c r="H22" s="119">
        <v>45877.0</v>
      </c>
      <c r="I22" s="118" t="s">
        <v>426</v>
      </c>
      <c r="J22" s="118" t="s">
        <v>427</v>
      </c>
      <c r="K22" s="118" t="s">
        <v>428</v>
      </c>
      <c r="L22" s="118" t="s">
        <v>386</v>
      </c>
      <c r="M22" s="118"/>
      <c r="N22" s="118" t="s">
        <v>390</v>
      </c>
      <c r="O22" s="118" t="s">
        <v>429</v>
      </c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 ht="15.75" customHeight="1">
      <c r="A23" s="118" t="s">
        <v>28</v>
      </c>
      <c r="B23" s="118" t="s">
        <v>352</v>
      </c>
      <c r="C23" s="118" t="s">
        <v>93</v>
      </c>
      <c r="D23" s="118" t="s">
        <v>386</v>
      </c>
      <c r="E23" s="118">
        <v>149204.0</v>
      </c>
      <c r="F23" s="119">
        <v>45846.0</v>
      </c>
      <c r="G23" s="120">
        <v>115880.7</v>
      </c>
      <c r="H23" s="119">
        <v>45891.0</v>
      </c>
      <c r="I23" s="118" t="s">
        <v>414</v>
      </c>
      <c r="J23" s="118" t="s">
        <v>403</v>
      </c>
      <c r="K23" s="118" t="s">
        <v>417</v>
      </c>
      <c r="L23" s="118" t="s">
        <v>386</v>
      </c>
      <c r="M23" s="118"/>
      <c r="N23" s="118" t="s">
        <v>390</v>
      </c>
      <c r="O23" s="118" t="s">
        <v>430</v>
      </c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 ht="15.75" customHeight="1">
      <c r="A24" s="118"/>
      <c r="B24" s="118"/>
      <c r="C24" s="118"/>
      <c r="D24" s="118"/>
      <c r="E24" s="118"/>
      <c r="F24" s="118"/>
      <c r="G24" s="120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 ht="15.75" customHeight="1">
      <c r="A25" s="118"/>
      <c r="B25" s="118"/>
      <c r="C25" s="118"/>
      <c r="D25" s="118"/>
      <c r="E25" s="118"/>
      <c r="F25" s="118"/>
      <c r="G25" s="120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 ht="15.75" customHeight="1">
      <c r="A26" s="118"/>
      <c r="B26" s="118"/>
      <c r="C26" s="118"/>
      <c r="D26" s="118"/>
      <c r="E26" s="118"/>
      <c r="F26" s="118"/>
      <c r="G26" s="120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 ht="15.75" customHeight="1">
      <c r="A27" s="118"/>
      <c r="B27" s="118"/>
      <c r="C27" s="118"/>
      <c r="D27" s="118"/>
      <c r="E27" s="118"/>
      <c r="F27" s="118"/>
      <c r="G27" s="120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 ht="15.75" customHeight="1">
      <c r="A28" s="118"/>
      <c r="B28" s="118"/>
      <c r="C28" s="118"/>
      <c r="D28" s="118"/>
      <c r="E28" s="118"/>
      <c r="F28" s="118"/>
      <c r="G28" s="120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 ht="15.75" customHeight="1">
      <c r="A29" s="118"/>
      <c r="B29" s="118"/>
      <c r="C29" s="118"/>
      <c r="D29" s="118"/>
      <c r="E29" s="118"/>
      <c r="F29" s="118"/>
      <c r="G29" s="120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 ht="15.75" customHeight="1">
      <c r="A30" s="118"/>
      <c r="B30" s="118"/>
      <c r="C30" s="118"/>
      <c r="D30" s="118"/>
      <c r="E30" s="118"/>
      <c r="F30" s="118"/>
      <c r="G30" s="120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 ht="15.75" customHeight="1">
      <c r="A31" s="118"/>
      <c r="B31" s="118"/>
      <c r="C31" s="118"/>
      <c r="D31" s="118"/>
      <c r="E31" s="118"/>
      <c r="F31" s="118"/>
      <c r="G31" s="120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 ht="15.75" customHeight="1">
      <c r="A32" s="118"/>
      <c r="B32" s="118"/>
      <c r="C32" s="118"/>
      <c r="D32" s="118"/>
      <c r="E32" s="118"/>
      <c r="F32" s="118"/>
      <c r="G32" s="120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 ht="15.75" customHeight="1">
      <c r="A33" s="118"/>
      <c r="B33" s="118"/>
      <c r="C33" s="118"/>
      <c r="D33" s="118"/>
      <c r="E33" s="118"/>
      <c r="F33" s="118"/>
      <c r="G33" s="120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 ht="15.75" customHeight="1">
      <c r="A34" s="118"/>
      <c r="B34" s="118"/>
      <c r="C34" s="118"/>
      <c r="D34" s="118"/>
      <c r="E34" s="118"/>
      <c r="F34" s="118"/>
      <c r="G34" s="120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 ht="15.75" customHeight="1">
      <c r="A35" s="118"/>
      <c r="B35" s="118"/>
      <c r="C35" s="118"/>
      <c r="D35" s="118"/>
      <c r="E35" s="118"/>
      <c r="F35" s="118"/>
      <c r="G35" s="120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 ht="15.75" customHeight="1">
      <c r="A36" s="118"/>
      <c r="B36" s="118"/>
      <c r="C36" s="118"/>
      <c r="D36" s="118"/>
      <c r="E36" s="118"/>
      <c r="F36" s="118"/>
      <c r="G36" s="120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 ht="15.75" customHeight="1">
      <c r="A37" s="118"/>
      <c r="B37" s="118"/>
      <c r="C37" s="118"/>
      <c r="D37" s="118"/>
      <c r="E37" s="118"/>
      <c r="F37" s="118"/>
      <c r="G37" s="120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 ht="15.75" customHeight="1">
      <c r="A38" s="118"/>
      <c r="B38" s="118"/>
      <c r="C38" s="118"/>
      <c r="D38" s="118"/>
      <c r="E38" s="118"/>
      <c r="F38" s="118"/>
      <c r="G38" s="120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 ht="15.75" customHeight="1">
      <c r="A39" s="118"/>
      <c r="B39" s="118"/>
      <c r="C39" s="118"/>
      <c r="D39" s="118"/>
      <c r="E39" s="118"/>
      <c r="F39" s="118"/>
      <c r="G39" s="120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 ht="15.75" customHeight="1">
      <c r="A40" s="118"/>
      <c r="B40" s="118"/>
      <c r="C40" s="118"/>
      <c r="D40" s="118"/>
      <c r="E40" s="118"/>
      <c r="F40" s="118"/>
      <c r="G40" s="120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 ht="15.75" customHeight="1">
      <c r="A41" s="118"/>
      <c r="B41" s="118"/>
      <c r="C41" s="118"/>
      <c r="D41" s="118"/>
      <c r="E41" s="118"/>
      <c r="F41" s="118"/>
      <c r="G41" s="120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 ht="15.75" customHeight="1">
      <c r="A42" s="118"/>
      <c r="B42" s="118"/>
      <c r="C42" s="118"/>
      <c r="D42" s="118"/>
      <c r="E42" s="118"/>
      <c r="F42" s="118"/>
      <c r="G42" s="120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 ht="15.75" customHeight="1">
      <c r="A43" s="118"/>
      <c r="B43" s="118"/>
      <c r="C43" s="118"/>
      <c r="D43" s="118"/>
      <c r="E43" s="118"/>
      <c r="F43" s="118"/>
      <c r="G43" s="120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 ht="15.75" customHeight="1">
      <c r="A44" s="118"/>
      <c r="B44" s="118"/>
      <c r="C44" s="118"/>
      <c r="D44" s="118"/>
      <c r="E44" s="118"/>
      <c r="F44" s="118"/>
      <c r="G44" s="120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 ht="15.75" customHeight="1">
      <c r="A45" s="118"/>
      <c r="B45" s="118"/>
      <c r="C45" s="118"/>
      <c r="D45" s="118"/>
      <c r="E45" s="118"/>
      <c r="F45" s="118"/>
      <c r="G45" s="120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 ht="15.75" customHeight="1">
      <c r="A46" s="118"/>
      <c r="B46" s="118"/>
      <c r="C46" s="118"/>
      <c r="D46" s="118"/>
      <c r="E46" s="118"/>
      <c r="F46" s="118"/>
      <c r="G46" s="120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 ht="15.75" customHeight="1">
      <c r="A47" s="118"/>
      <c r="B47" s="118"/>
      <c r="C47" s="118"/>
      <c r="D47" s="118"/>
      <c r="E47" s="118"/>
      <c r="F47" s="118"/>
      <c r="G47" s="120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 ht="15.75" customHeight="1">
      <c r="A48" s="118"/>
      <c r="B48" s="118"/>
      <c r="C48" s="118"/>
      <c r="D48" s="118"/>
      <c r="E48" s="118"/>
      <c r="F48" s="118"/>
      <c r="G48" s="120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 ht="15.75" customHeight="1">
      <c r="A49" s="118"/>
      <c r="B49" s="118"/>
      <c r="C49" s="118"/>
      <c r="D49" s="118"/>
      <c r="E49" s="118"/>
      <c r="F49" s="118"/>
      <c r="G49" s="120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 ht="15.75" customHeight="1">
      <c r="A50" s="118"/>
      <c r="B50" s="118"/>
      <c r="C50" s="118"/>
      <c r="D50" s="118"/>
      <c r="E50" s="118"/>
      <c r="F50" s="118"/>
      <c r="G50" s="120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ht="15.75" customHeight="1">
      <c r="A51" s="118"/>
      <c r="B51" s="118"/>
      <c r="C51" s="118"/>
      <c r="D51" s="118"/>
      <c r="E51" s="118"/>
      <c r="F51" s="118"/>
      <c r="G51" s="120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ht="15.75" customHeight="1">
      <c r="A52" s="118"/>
      <c r="B52" s="118"/>
      <c r="C52" s="118"/>
      <c r="D52" s="118"/>
      <c r="E52" s="118"/>
      <c r="F52" s="118"/>
      <c r="G52" s="120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ht="15.75" customHeight="1">
      <c r="A53" s="118"/>
      <c r="B53" s="118"/>
      <c r="C53" s="118"/>
      <c r="D53" s="118"/>
      <c r="E53" s="118"/>
      <c r="F53" s="118"/>
      <c r="G53" s="120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ht="15.75" customHeight="1">
      <c r="A54" s="118"/>
      <c r="B54" s="118"/>
      <c r="C54" s="118"/>
      <c r="D54" s="118"/>
      <c r="E54" s="118"/>
      <c r="F54" s="118"/>
      <c r="G54" s="120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ht="15.75" customHeight="1">
      <c r="A55" s="118"/>
      <c r="B55" s="118"/>
      <c r="C55" s="118"/>
      <c r="D55" s="118"/>
      <c r="E55" s="118"/>
      <c r="F55" s="118"/>
      <c r="G55" s="120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ht="15.75" customHeight="1">
      <c r="A56" s="118"/>
      <c r="B56" s="118"/>
      <c r="C56" s="118"/>
      <c r="D56" s="118"/>
      <c r="E56" s="118"/>
      <c r="F56" s="118"/>
      <c r="G56" s="120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ht="15.75" customHeight="1">
      <c r="A57" s="118"/>
      <c r="B57" s="118"/>
      <c r="C57" s="118"/>
      <c r="D57" s="118"/>
      <c r="E57" s="118"/>
      <c r="F57" s="118"/>
      <c r="G57" s="120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ht="15.75" customHeight="1">
      <c r="A58" s="118"/>
      <c r="B58" s="118"/>
      <c r="C58" s="118"/>
      <c r="D58" s="118"/>
      <c r="E58" s="118"/>
      <c r="F58" s="118"/>
      <c r="G58" s="120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ht="15.75" customHeight="1">
      <c r="A59" s="118"/>
      <c r="B59" s="118"/>
      <c r="C59" s="118"/>
      <c r="D59" s="118"/>
      <c r="E59" s="118"/>
      <c r="F59" s="118"/>
      <c r="G59" s="120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ht="15.75" customHeight="1">
      <c r="A60" s="118"/>
      <c r="B60" s="118"/>
      <c r="C60" s="118"/>
      <c r="D60" s="118"/>
      <c r="E60" s="118"/>
      <c r="F60" s="118"/>
      <c r="G60" s="120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ht="15.75" customHeight="1">
      <c r="A61" s="118"/>
      <c r="B61" s="118"/>
      <c r="C61" s="118"/>
      <c r="D61" s="118"/>
      <c r="E61" s="118"/>
      <c r="F61" s="118"/>
      <c r="G61" s="120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ht="15.75" customHeight="1">
      <c r="A62" s="118"/>
      <c r="B62" s="118"/>
      <c r="C62" s="118"/>
      <c r="D62" s="118"/>
      <c r="E62" s="118"/>
      <c r="F62" s="118"/>
      <c r="G62" s="120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ht="15.75" customHeight="1">
      <c r="A63" s="118"/>
      <c r="B63" s="118"/>
      <c r="C63" s="118"/>
      <c r="D63" s="118"/>
      <c r="E63" s="118"/>
      <c r="F63" s="118"/>
      <c r="G63" s="120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ht="15.75" customHeight="1">
      <c r="A64" s="118"/>
      <c r="B64" s="118"/>
      <c r="C64" s="118"/>
      <c r="D64" s="118"/>
      <c r="E64" s="118"/>
      <c r="F64" s="118"/>
      <c r="G64" s="120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 ht="15.75" customHeight="1">
      <c r="A65" s="118"/>
      <c r="B65" s="118"/>
      <c r="C65" s="118"/>
      <c r="D65" s="118"/>
      <c r="E65" s="118"/>
      <c r="F65" s="118"/>
      <c r="G65" s="120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 ht="15.75" customHeight="1">
      <c r="A66" s="118"/>
      <c r="B66" s="118"/>
      <c r="C66" s="118"/>
      <c r="D66" s="118"/>
      <c r="E66" s="118"/>
      <c r="F66" s="118"/>
      <c r="G66" s="120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 ht="15.75" customHeight="1">
      <c r="A67" s="118"/>
      <c r="B67" s="118"/>
      <c r="C67" s="118"/>
      <c r="D67" s="118"/>
      <c r="E67" s="118"/>
      <c r="F67" s="118"/>
      <c r="G67" s="120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 ht="15.75" customHeight="1">
      <c r="A68" s="118"/>
      <c r="B68" s="118"/>
      <c r="C68" s="118"/>
      <c r="D68" s="118"/>
      <c r="E68" s="118"/>
      <c r="F68" s="118"/>
      <c r="G68" s="120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 ht="15.75" customHeight="1">
      <c r="A69" s="118"/>
      <c r="B69" s="118"/>
      <c r="C69" s="118"/>
      <c r="D69" s="118"/>
      <c r="E69" s="118"/>
      <c r="F69" s="118"/>
      <c r="G69" s="120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 ht="15.75" customHeight="1">
      <c r="A70" s="118"/>
      <c r="B70" s="118"/>
      <c r="C70" s="118"/>
      <c r="D70" s="118"/>
      <c r="E70" s="118"/>
      <c r="F70" s="118"/>
      <c r="G70" s="120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 ht="15.75" customHeight="1">
      <c r="A71" s="118"/>
      <c r="B71" s="118"/>
      <c r="C71" s="118"/>
      <c r="D71" s="118"/>
      <c r="E71" s="118"/>
      <c r="F71" s="118"/>
      <c r="G71" s="120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 ht="15.75" customHeight="1">
      <c r="A72" s="118"/>
      <c r="B72" s="118"/>
      <c r="C72" s="118"/>
      <c r="D72" s="118"/>
      <c r="E72" s="118"/>
      <c r="F72" s="118"/>
      <c r="G72" s="120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 ht="15.75" customHeight="1">
      <c r="A73" s="118"/>
      <c r="B73" s="118"/>
      <c r="C73" s="118"/>
      <c r="D73" s="118"/>
      <c r="E73" s="118"/>
      <c r="F73" s="118"/>
      <c r="G73" s="120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 ht="15.75" customHeight="1">
      <c r="A74" s="118"/>
      <c r="B74" s="118"/>
      <c r="C74" s="118"/>
      <c r="D74" s="118"/>
      <c r="E74" s="118"/>
      <c r="F74" s="118"/>
      <c r="G74" s="120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 ht="15.75" customHeight="1">
      <c r="A75" s="118"/>
      <c r="B75" s="118"/>
      <c r="C75" s="118"/>
      <c r="D75" s="118"/>
      <c r="E75" s="118"/>
      <c r="F75" s="118"/>
      <c r="G75" s="120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 ht="15.75" customHeight="1">
      <c r="A76" s="118"/>
      <c r="B76" s="118"/>
      <c r="C76" s="118"/>
      <c r="D76" s="118"/>
      <c r="E76" s="118"/>
      <c r="F76" s="118"/>
      <c r="G76" s="120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 ht="15.75" customHeight="1">
      <c r="A77" s="118"/>
      <c r="B77" s="118"/>
      <c r="C77" s="118"/>
      <c r="D77" s="118"/>
      <c r="E77" s="118"/>
      <c r="F77" s="118"/>
      <c r="G77" s="120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 ht="15.75" customHeight="1">
      <c r="A78" s="118"/>
      <c r="B78" s="118"/>
      <c r="C78" s="118"/>
      <c r="D78" s="118"/>
      <c r="E78" s="118"/>
      <c r="F78" s="118"/>
      <c r="G78" s="120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 ht="15.75" customHeight="1">
      <c r="A79" s="118"/>
      <c r="B79" s="118"/>
      <c r="C79" s="118"/>
      <c r="D79" s="118"/>
      <c r="E79" s="118"/>
      <c r="F79" s="118"/>
      <c r="G79" s="120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 ht="15.75" customHeight="1">
      <c r="A80" s="118"/>
      <c r="B80" s="118"/>
      <c r="C80" s="118"/>
      <c r="D80" s="118"/>
      <c r="E80" s="118"/>
      <c r="F80" s="118"/>
      <c r="G80" s="120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 ht="15.75" customHeight="1">
      <c r="A81" s="118"/>
      <c r="B81" s="118"/>
      <c r="C81" s="118"/>
      <c r="D81" s="118"/>
      <c r="E81" s="118"/>
      <c r="F81" s="118"/>
      <c r="G81" s="120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 ht="15.75" customHeight="1">
      <c r="A82" s="118"/>
      <c r="B82" s="118"/>
      <c r="C82" s="118"/>
      <c r="D82" s="118"/>
      <c r="E82" s="118"/>
      <c r="F82" s="118"/>
      <c r="G82" s="120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 ht="15.75" customHeight="1">
      <c r="A83" s="118"/>
      <c r="B83" s="118"/>
      <c r="C83" s="118"/>
      <c r="D83" s="118"/>
      <c r="E83" s="118"/>
      <c r="F83" s="118"/>
      <c r="G83" s="120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 ht="15.75" customHeight="1">
      <c r="A84" s="118"/>
      <c r="B84" s="118"/>
      <c r="C84" s="118"/>
      <c r="D84" s="118"/>
      <c r="E84" s="118"/>
      <c r="F84" s="118"/>
      <c r="G84" s="120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 ht="15.75" customHeight="1">
      <c r="A85" s="118"/>
      <c r="B85" s="118"/>
      <c r="C85" s="118"/>
      <c r="D85" s="118"/>
      <c r="E85" s="118"/>
      <c r="F85" s="118"/>
      <c r="G85" s="120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 ht="15.75" customHeight="1">
      <c r="A86" s="118"/>
      <c r="B86" s="118"/>
      <c r="C86" s="118"/>
      <c r="D86" s="118"/>
      <c r="E86" s="118"/>
      <c r="F86" s="118"/>
      <c r="G86" s="120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 ht="15.75" customHeight="1">
      <c r="A87" s="118"/>
      <c r="B87" s="118"/>
      <c r="C87" s="118"/>
      <c r="D87" s="118"/>
      <c r="E87" s="118"/>
      <c r="F87" s="118"/>
      <c r="G87" s="120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 ht="15.75" customHeight="1">
      <c r="A88" s="118"/>
      <c r="B88" s="118"/>
      <c r="C88" s="118"/>
      <c r="D88" s="118"/>
      <c r="E88" s="118"/>
      <c r="F88" s="118"/>
      <c r="G88" s="120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 ht="15.75" customHeight="1">
      <c r="A89" s="118"/>
      <c r="B89" s="118"/>
      <c r="C89" s="118"/>
      <c r="D89" s="118"/>
      <c r="E89" s="118"/>
      <c r="F89" s="118"/>
      <c r="G89" s="120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 ht="15.75" customHeight="1">
      <c r="A90" s="118"/>
      <c r="B90" s="118"/>
      <c r="C90" s="118"/>
      <c r="D90" s="118"/>
      <c r="E90" s="118"/>
      <c r="F90" s="118"/>
      <c r="G90" s="120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 ht="15.75" customHeight="1">
      <c r="A91" s="118"/>
      <c r="B91" s="118"/>
      <c r="C91" s="118"/>
      <c r="D91" s="118"/>
      <c r="E91" s="118"/>
      <c r="F91" s="118"/>
      <c r="G91" s="120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 ht="15.75" customHeight="1">
      <c r="A92" s="118"/>
      <c r="B92" s="118"/>
      <c r="C92" s="118"/>
      <c r="D92" s="118"/>
      <c r="E92" s="118"/>
      <c r="F92" s="118"/>
      <c r="G92" s="120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 ht="15.75" customHeight="1">
      <c r="A93" s="118"/>
      <c r="B93" s="118"/>
      <c r="C93" s="118"/>
      <c r="D93" s="118"/>
      <c r="E93" s="118"/>
      <c r="F93" s="118"/>
      <c r="G93" s="120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 ht="15.75" customHeight="1">
      <c r="A94" s="118"/>
      <c r="B94" s="118"/>
      <c r="C94" s="118"/>
      <c r="D94" s="118"/>
      <c r="E94" s="118"/>
      <c r="F94" s="118"/>
      <c r="G94" s="120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 ht="15.75" customHeight="1">
      <c r="A95" s="118"/>
      <c r="B95" s="118"/>
      <c r="C95" s="118"/>
      <c r="D95" s="118"/>
      <c r="E95" s="118"/>
      <c r="F95" s="118"/>
      <c r="G95" s="120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 ht="15.75" customHeight="1">
      <c r="A96" s="118"/>
      <c r="B96" s="118"/>
      <c r="C96" s="118"/>
      <c r="D96" s="118"/>
      <c r="E96" s="118"/>
      <c r="F96" s="118"/>
      <c r="G96" s="120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 ht="15.75" customHeight="1">
      <c r="A97" s="118"/>
      <c r="B97" s="118"/>
      <c r="C97" s="118"/>
      <c r="D97" s="118"/>
      <c r="E97" s="118"/>
      <c r="F97" s="118"/>
      <c r="G97" s="120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 ht="15.75" customHeight="1">
      <c r="A98" s="118"/>
      <c r="B98" s="118"/>
      <c r="C98" s="118"/>
      <c r="D98" s="118"/>
      <c r="E98" s="118"/>
      <c r="F98" s="118"/>
      <c r="G98" s="120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 ht="15.75" customHeight="1">
      <c r="A99" s="118"/>
      <c r="B99" s="118"/>
      <c r="C99" s="118"/>
      <c r="D99" s="118"/>
      <c r="E99" s="118"/>
      <c r="F99" s="118"/>
      <c r="G99" s="120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 ht="15.75" customHeight="1">
      <c r="A100" s="118"/>
      <c r="B100" s="118"/>
      <c r="C100" s="118"/>
      <c r="D100" s="118"/>
      <c r="E100" s="118"/>
      <c r="F100" s="118"/>
      <c r="G100" s="120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 ht="15.75" customHeight="1">
      <c r="A101" s="118"/>
      <c r="B101" s="118"/>
      <c r="C101" s="118"/>
      <c r="D101" s="118"/>
      <c r="E101" s="118"/>
      <c r="F101" s="118"/>
      <c r="G101" s="120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 ht="15.75" customHeight="1">
      <c r="A102" s="118"/>
      <c r="B102" s="118"/>
      <c r="C102" s="118"/>
      <c r="D102" s="118"/>
      <c r="E102" s="118"/>
      <c r="F102" s="118"/>
      <c r="G102" s="120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 ht="15.75" customHeight="1">
      <c r="A103" s="118"/>
      <c r="B103" s="118"/>
      <c r="C103" s="118"/>
      <c r="D103" s="118"/>
      <c r="E103" s="118"/>
      <c r="F103" s="118"/>
      <c r="G103" s="120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 ht="15.75" customHeight="1">
      <c r="A104" s="118"/>
      <c r="B104" s="118"/>
      <c r="C104" s="118"/>
      <c r="D104" s="118"/>
      <c r="E104" s="118"/>
      <c r="F104" s="118"/>
      <c r="G104" s="120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 ht="15.75" customHeight="1">
      <c r="A105" s="118"/>
      <c r="B105" s="118"/>
      <c r="C105" s="118"/>
      <c r="D105" s="118"/>
      <c r="E105" s="118"/>
      <c r="F105" s="118"/>
      <c r="G105" s="120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 ht="15.75" customHeight="1">
      <c r="A106" s="118"/>
      <c r="B106" s="118"/>
      <c r="C106" s="118"/>
      <c r="D106" s="118"/>
      <c r="E106" s="118"/>
      <c r="F106" s="118"/>
      <c r="G106" s="120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 ht="15.75" customHeight="1">
      <c r="A107" s="118"/>
      <c r="B107" s="118"/>
      <c r="C107" s="118"/>
      <c r="D107" s="118"/>
      <c r="E107" s="118"/>
      <c r="F107" s="118"/>
      <c r="G107" s="120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 ht="15.75" customHeight="1">
      <c r="A108" s="118"/>
      <c r="B108" s="118"/>
      <c r="C108" s="118"/>
      <c r="D108" s="118"/>
      <c r="E108" s="118"/>
      <c r="F108" s="118"/>
      <c r="G108" s="120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 ht="15.75" customHeight="1">
      <c r="A109" s="118"/>
      <c r="B109" s="118"/>
      <c r="C109" s="118"/>
      <c r="D109" s="118"/>
      <c r="E109" s="118"/>
      <c r="F109" s="118"/>
      <c r="G109" s="120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 ht="15.75" customHeight="1">
      <c r="A110" s="118"/>
      <c r="B110" s="118"/>
      <c r="C110" s="118"/>
      <c r="D110" s="118"/>
      <c r="E110" s="118"/>
      <c r="F110" s="118"/>
      <c r="G110" s="120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 ht="15.75" customHeight="1">
      <c r="A111" s="118"/>
      <c r="B111" s="118"/>
      <c r="C111" s="118"/>
      <c r="D111" s="118"/>
      <c r="E111" s="118"/>
      <c r="F111" s="118"/>
      <c r="G111" s="120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 ht="15.75" customHeight="1">
      <c r="A112" s="118"/>
      <c r="B112" s="118"/>
      <c r="C112" s="118"/>
      <c r="D112" s="118"/>
      <c r="E112" s="118"/>
      <c r="F112" s="118"/>
      <c r="G112" s="120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 ht="15.75" customHeight="1">
      <c r="A113" s="118"/>
      <c r="B113" s="118"/>
      <c r="C113" s="118"/>
      <c r="D113" s="118"/>
      <c r="E113" s="118"/>
      <c r="F113" s="118"/>
      <c r="G113" s="120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 ht="15.75" customHeight="1">
      <c r="A114" s="118"/>
      <c r="B114" s="118"/>
      <c r="C114" s="118"/>
      <c r="D114" s="118"/>
      <c r="E114" s="118"/>
      <c r="F114" s="118"/>
      <c r="G114" s="120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 ht="15.75" customHeight="1">
      <c r="A115" s="118"/>
      <c r="B115" s="118"/>
      <c r="C115" s="118"/>
      <c r="D115" s="118"/>
      <c r="E115" s="118"/>
      <c r="F115" s="118"/>
      <c r="G115" s="120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 ht="15.75" customHeight="1">
      <c r="A116" s="118"/>
      <c r="B116" s="118"/>
      <c r="C116" s="118"/>
      <c r="D116" s="118"/>
      <c r="E116" s="118"/>
      <c r="F116" s="118"/>
      <c r="G116" s="120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 ht="15.75" customHeight="1">
      <c r="A117" s="118"/>
      <c r="B117" s="118"/>
      <c r="C117" s="118"/>
      <c r="D117" s="118"/>
      <c r="E117" s="118"/>
      <c r="F117" s="118"/>
      <c r="G117" s="120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 ht="15.75" customHeight="1">
      <c r="A118" s="118"/>
      <c r="B118" s="118"/>
      <c r="C118" s="118"/>
      <c r="D118" s="118"/>
      <c r="E118" s="118"/>
      <c r="F118" s="118"/>
      <c r="G118" s="120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 ht="15.75" customHeight="1">
      <c r="A119" s="118"/>
      <c r="B119" s="118"/>
      <c r="C119" s="118"/>
      <c r="D119" s="118"/>
      <c r="E119" s="118"/>
      <c r="F119" s="118"/>
      <c r="G119" s="120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 ht="15.75" customHeight="1">
      <c r="A120" s="118"/>
      <c r="B120" s="118"/>
      <c r="C120" s="118"/>
      <c r="D120" s="118"/>
      <c r="E120" s="118"/>
      <c r="F120" s="118"/>
      <c r="G120" s="120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 ht="15.75" customHeight="1">
      <c r="A121" s="118"/>
      <c r="B121" s="118"/>
      <c r="C121" s="118"/>
      <c r="D121" s="118"/>
      <c r="E121" s="118"/>
      <c r="F121" s="118"/>
      <c r="G121" s="120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 ht="15.75" customHeight="1">
      <c r="A122" s="118"/>
      <c r="B122" s="118"/>
      <c r="C122" s="118"/>
      <c r="D122" s="118"/>
      <c r="E122" s="118"/>
      <c r="F122" s="118"/>
      <c r="G122" s="120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 ht="15.75" customHeight="1">
      <c r="A123" s="118"/>
      <c r="B123" s="118"/>
      <c r="C123" s="118"/>
      <c r="D123" s="118"/>
      <c r="E123" s="118"/>
      <c r="F123" s="118"/>
      <c r="G123" s="120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 ht="15.75" customHeight="1">
      <c r="A124" s="118"/>
      <c r="B124" s="118"/>
      <c r="C124" s="118"/>
      <c r="D124" s="118"/>
      <c r="E124" s="118"/>
      <c r="F124" s="118"/>
      <c r="G124" s="120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 ht="15.75" customHeight="1">
      <c r="A125" s="118"/>
      <c r="B125" s="118"/>
      <c r="C125" s="118"/>
      <c r="D125" s="118"/>
      <c r="E125" s="118"/>
      <c r="F125" s="118"/>
      <c r="G125" s="120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 ht="15.75" customHeight="1">
      <c r="A126" s="118"/>
      <c r="B126" s="118"/>
      <c r="C126" s="118"/>
      <c r="D126" s="118"/>
      <c r="E126" s="118"/>
      <c r="F126" s="118"/>
      <c r="G126" s="120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 ht="15.75" customHeight="1">
      <c r="A127" s="118"/>
      <c r="B127" s="118"/>
      <c r="C127" s="118"/>
      <c r="D127" s="118"/>
      <c r="E127" s="118"/>
      <c r="F127" s="118"/>
      <c r="G127" s="120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 ht="15.75" customHeight="1">
      <c r="A128" s="118"/>
      <c r="B128" s="118"/>
      <c r="C128" s="118"/>
      <c r="D128" s="118"/>
      <c r="E128" s="118"/>
      <c r="F128" s="118"/>
      <c r="G128" s="120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 ht="15.75" customHeight="1">
      <c r="A129" s="118"/>
      <c r="B129" s="118"/>
      <c r="C129" s="118"/>
      <c r="D129" s="118"/>
      <c r="E129" s="118"/>
      <c r="F129" s="118"/>
      <c r="G129" s="120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 ht="15.75" customHeight="1">
      <c r="A130" s="118"/>
      <c r="B130" s="118"/>
      <c r="C130" s="118"/>
      <c r="D130" s="118"/>
      <c r="E130" s="118"/>
      <c r="F130" s="118"/>
      <c r="G130" s="120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 ht="15.75" customHeight="1">
      <c r="A131" s="118"/>
      <c r="B131" s="118"/>
      <c r="C131" s="118"/>
      <c r="D131" s="118"/>
      <c r="E131" s="118"/>
      <c r="F131" s="118"/>
      <c r="G131" s="120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 ht="15.75" customHeight="1">
      <c r="A132" s="118"/>
      <c r="B132" s="118"/>
      <c r="C132" s="118"/>
      <c r="D132" s="118"/>
      <c r="E132" s="118"/>
      <c r="F132" s="118"/>
      <c r="G132" s="120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 ht="15.75" customHeight="1">
      <c r="A133" s="118"/>
      <c r="B133" s="118"/>
      <c r="C133" s="118"/>
      <c r="D133" s="118"/>
      <c r="E133" s="118"/>
      <c r="F133" s="118"/>
      <c r="G133" s="120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 ht="15.75" customHeight="1">
      <c r="A134" s="118"/>
      <c r="B134" s="118"/>
      <c r="C134" s="118"/>
      <c r="D134" s="118"/>
      <c r="E134" s="118"/>
      <c r="F134" s="118"/>
      <c r="G134" s="120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 ht="15.75" customHeight="1">
      <c r="A135" s="118"/>
      <c r="B135" s="118"/>
      <c r="C135" s="118"/>
      <c r="D135" s="118"/>
      <c r="E135" s="118"/>
      <c r="F135" s="118"/>
      <c r="G135" s="120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 ht="15.75" customHeight="1">
      <c r="A136" s="118"/>
      <c r="B136" s="118"/>
      <c r="C136" s="118"/>
      <c r="D136" s="118"/>
      <c r="E136" s="118"/>
      <c r="F136" s="118"/>
      <c r="G136" s="120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 ht="15.75" customHeight="1">
      <c r="A137" s="118"/>
      <c r="B137" s="118"/>
      <c r="C137" s="118"/>
      <c r="D137" s="118"/>
      <c r="E137" s="118"/>
      <c r="F137" s="118"/>
      <c r="G137" s="120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 ht="15.75" customHeight="1">
      <c r="A138" s="118"/>
      <c r="B138" s="118"/>
      <c r="C138" s="118"/>
      <c r="D138" s="118"/>
      <c r="E138" s="118"/>
      <c r="F138" s="118"/>
      <c r="G138" s="120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 ht="15.75" customHeight="1">
      <c r="A139" s="118"/>
      <c r="B139" s="118"/>
      <c r="C139" s="118"/>
      <c r="D139" s="118"/>
      <c r="E139" s="118"/>
      <c r="F139" s="118"/>
      <c r="G139" s="120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 ht="15.75" customHeight="1">
      <c r="A140" s="118"/>
      <c r="B140" s="118"/>
      <c r="C140" s="118"/>
      <c r="D140" s="118"/>
      <c r="E140" s="118"/>
      <c r="F140" s="118"/>
      <c r="G140" s="120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 ht="15.75" customHeight="1">
      <c r="A141" s="118"/>
      <c r="B141" s="118"/>
      <c r="C141" s="118"/>
      <c r="D141" s="118"/>
      <c r="E141" s="118"/>
      <c r="F141" s="118"/>
      <c r="G141" s="120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 ht="15.75" customHeight="1">
      <c r="A142" s="118"/>
      <c r="B142" s="118"/>
      <c r="C142" s="118"/>
      <c r="D142" s="118"/>
      <c r="E142" s="118"/>
      <c r="F142" s="118"/>
      <c r="G142" s="120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 ht="15.75" customHeight="1">
      <c r="A143" s="118"/>
      <c r="B143" s="118"/>
      <c r="C143" s="118"/>
      <c r="D143" s="118"/>
      <c r="E143" s="118"/>
      <c r="F143" s="118"/>
      <c r="G143" s="120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 ht="15.75" customHeight="1">
      <c r="A144" s="118"/>
      <c r="B144" s="118"/>
      <c r="C144" s="118"/>
      <c r="D144" s="118"/>
      <c r="E144" s="118"/>
      <c r="F144" s="118"/>
      <c r="G144" s="120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 ht="15.75" customHeight="1">
      <c r="A145" s="118"/>
      <c r="B145" s="118"/>
      <c r="C145" s="118"/>
      <c r="D145" s="118"/>
      <c r="E145" s="118"/>
      <c r="F145" s="118"/>
      <c r="G145" s="120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 ht="15.75" customHeight="1">
      <c r="A146" s="118"/>
      <c r="B146" s="118"/>
      <c r="C146" s="118"/>
      <c r="D146" s="118"/>
      <c r="E146" s="118"/>
      <c r="F146" s="118"/>
      <c r="G146" s="120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 ht="15.75" customHeight="1">
      <c r="A147" s="118"/>
      <c r="B147" s="118"/>
      <c r="C147" s="118"/>
      <c r="D147" s="118"/>
      <c r="E147" s="118"/>
      <c r="F147" s="118"/>
      <c r="G147" s="120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 ht="15.75" customHeight="1">
      <c r="A148" s="118"/>
      <c r="B148" s="118"/>
      <c r="C148" s="118"/>
      <c r="D148" s="118"/>
      <c r="E148" s="118"/>
      <c r="F148" s="118"/>
      <c r="G148" s="120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 ht="15.75" customHeight="1">
      <c r="A149" s="118"/>
      <c r="B149" s="118"/>
      <c r="C149" s="118"/>
      <c r="D149" s="118"/>
      <c r="E149" s="118"/>
      <c r="F149" s="118"/>
      <c r="G149" s="120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 ht="15.75" customHeight="1">
      <c r="A150" s="118"/>
      <c r="B150" s="118"/>
      <c r="C150" s="118"/>
      <c r="D150" s="118"/>
      <c r="E150" s="118"/>
      <c r="F150" s="118"/>
      <c r="G150" s="120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 ht="15.75" customHeight="1">
      <c r="A151" s="118"/>
      <c r="B151" s="118"/>
      <c r="C151" s="118"/>
      <c r="D151" s="118"/>
      <c r="E151" s="118"/>
      <c r="F151" s="118"/>
      <c r="G151" s="120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 ht="15.75" customHeight="1">
      <c r="A152" s="118"/>
      <c r="B152" s="118"/>
      <c r="C152" s="118"/>
      <c r="D152" s="118"/>
      <c r="E152" s="118"/>
      <c r="F152" s="118"/>
      <c r="G152" s="120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 ht="15.75" customHeight="1">
      <c r="A153" s="118"/>
      <c r="B153" s="118"/>
      <c r="C153" s="118"/>
      <c r="D153" s="118"/>
      <c r="E153" s="118"/>
      <c r="F153" s="118"/>
      <c r="G153" s="120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 ht="15.75" customHeight="1">
      <c r="A154" s="118"/>
      <c r="B154" s="118"/>
      <c r="C154" s="118"/>
      <c r="D154" s="118"/>
      <c r="E154" s="118"/>
      <c r="F154" s="118"/>
      <c r="G154" s="120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 ht="15.75" customHeight="1">
      <c r="A155" s="118"/>
      <c r="B155" s="118"/>
      <c r="C155" s="118"/>
      <c r="D155" s="118"/>
      <c r="E155" s="118"/>
      <c r="F155" s="118"/>
      <c r="G155" s="120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 ht="15.75" customHeight="1">
      <c r="A156" s="118"/>
      <c r="B156" s="118"/>
      <c r="C156" s="118"/>
      <c r="D156" s="118"/>
      <c r="E156" s="118"/>
      <c r="F156" s="118"/>
      <c r="G156" s="120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 ht="15.75" customHeight="1">
      <c r="A157" s="118"/>
      <c r="B157" s="118"/>
      <c r="C157" s="118"/>
      <c r="D157" s="118"/>
      <c r="E157" s="118"/>
      <c r="F157" s="118"/>
      <c r="G157" s="120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 ht="15.75" customHeight="1">
      <c r="A158" s="118"/>
      <c r="B158" s="118"/>
      <c r="C158" s="118"/>
      <c r="D158" s="118"/>
      <c r="E158" s="118"/>
      <c r="F158" s="118"/>
      <c r="G158" s="120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 ht="15.75" customHeight="1">
      <c r="A159" s="118"/>
      <c r="B159" s="118"/>
      <c r="C159" s="118"/>
      <c r="D159" s="118"/>
      <c r="E159" s="118"/>
      <c r="F159" s="118"/>
      <c r="G159" s="120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 ht="15.75" customHeight="1">
      <c r="A160" s="118"/>
      <c r="B160" s="118"/>
      <c r="C160" s="118"/>
      <c r="D160" s="118"/>
      <c r="E160" s="118"/>
      <c r="F160" s="118"/>
      <c r="G160" s="120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 ht="15.75" customHeight="1">
      <c r="A161" s="118"/>
      <c r="B161" s="118"/>
      <c r="C161" s="118"/>
      <c r="D161" s="118"/>
      <c r="E161" s="118"/>
      <c r="F161" s="118"/>
      <c r="G161" s="120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 ht="15.75" customHeight="1">
      <c r="A162" s="118"/>
      <c r="B162" s="118"/>
      <c r="C162" s="118"/>
      <c r="D162" s="118"/>
      <c r="E162" s="118"/>
      <c r="F162" s="118"/>
      <c r="G162" s="120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 ht="15.75" customHeight="1">
      <c r="A163" s="118"/>
      <c r="B163" s="118"/>
      <c r="C163" s="118"/>
      <c r="D163" s="118"/>
      <c r="E163" s="118"/>
      <c r="F163" s="118"/>
      <c r="G163" s="120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 ht="15.75" customHeight="1">
      <c r="A164" s="118"/>
      <c r="B164" s="118"/>
      <c r="C164" s="118"/>
      <c r="D164" s="118"/>
      <c r="E164" s="118"/>
      <c r="F164" s="118"/>
      <c r="G164" s="120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 ht="15.75" customHeight="1">
      <c r="A165" s="118"/>
      <c r="B165" s="118"/>
      <c r="C165" s="118"/>
      <c r="D165" s="118"/>
      <c r="E165" s="118"/>
      <c r="F165" s="118"/>
      <c r="G165" s="120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 ht="15.75" customHeight="1">
      <c r="A166" s="118"/>
      <c r="B166" s="118"/>
      <c r="C166" s="118"/>
      <c r="D166" s="118"/>
      <c r="E166" s="118"/>
      <c r="F166" s="118"/>
      <c r="G166" s="120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 ht="15.75" customHeight="1">
      <c r="A167" s="118"/>
      <c r="B167" s="118"/>
      <c r="C167" s="118"/>
      <c r="D167" s="118"/>
      <c r="E167" s="118"/>
      <c r="F167" s="118"/>
      <c r="G167" s="120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 ht="15.75" customHeight="1">
      <c r="A168" s="118"/>
      <c r="B168" s="118"/>
      <c r="C168" s="118"/>
      <c r="D168" s="118"/>
      <c r="E168" s="118"/>
      <c r="F168" s="118"/>
      <c r="G168" s="120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 ht="15.75" customHeight="1">
      <c r="A169" s="118"/>
      <c r="B169" s="118"/>
      <c r="C169" s="118"/>
      <c r="D169" s="118"/>
      <c r="E169" s="118"/>
      <c r="F169" s="118"/>
      <c r="G169" s="120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 ht="15.75" customHeight="1">
      <c r="A170" s="118"/>
      <c r="B170" s="118"/>
      <c r="C170" s="118"/>
      <c r="D170" s="118"/>
      <c r="E170" s="118"/>
      <c r="F170" s="118"/>
      <c r="G170" s="120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 ht="15.75" customHeight="1">
      <c r="A171" s="118"/>
      <c r="B171" s="118"/>
      <c r="C171" s="118"/>
      <c r="D171" s="118"/>
      <c r="E171" s="118"/>
      <c r="F171" s="118"/>
      <c r="G171" s="120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 ht="15.75" customHeight="1">
      <c r="A172" s="118"/>
      <c r="B172" s="118"/>
      <c r="C172" s="118"/>
      <c r="D172" s="118"/>
      <c r="E172" s="118"/>
      <c r="F172" s="118"/>
      <c r="G172" s="120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 ht="15.75" customHeight="1">
      <c r="A173" s="118"/>
      <c r="B173" s="118"/>
      <c r="C173" s="118"/>
      <c r="D173" s="118"/>
      <c r="E173" s="118"/>
      <c r="F173" s="118"/>
      <c r="G173" s="120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 ht="15.75" customHeight="1">
      <c r="A174" s="118"/>
      <c r="B174" s="118"/>
      <c r="C174" s="118"/>
      <c r="D174" s="118"/>
      <c r="E174" s="118"/>
      <c r="F174" s="118"/>
      <c r="G174" s="120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 ht="15.75" customHeight="1">
      <c r="A175" s="118"/>
      <c r="B175" s="118"/>
      <c r="C175" s="118"/>
      <c r="D175" s="118"/>
      <c r="E175" s="118"/>
      <c r="F175" s="118"/>
      <c r="G175" s="120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 ht="15.75" customHeight="1">
      <c r="A176" s="118"/>
      <c r="B176" s="118"/>
      <c r="C176" s="118"/>
      <c r="D176" s="118"/>
      <c r="E176" s="118"/>
      <c r="F176" s="118"/>
      <c r="G176" s="120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 ht="15.75" customHeight="1">
      <c r="A177" s="118"/>
      <c r="B177" s="118"/>
      <c r="C177" s="118"/>
      <c r="D177" s="118"/>
      <c r="E177" s="118"/>
      <c r="F177" s="118"/>
      <c r="G177" s="120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 ht="15.75" customHeight="1">
      <c r="A178" s="118"/>
      <c r="B178" s="118"/>
      <c r="C178" s="118"/>
      <c r="D178" s="118"/>
      <c r="E178" s="118"/>
      <c r="F178" s="118"/>
      <c r="G178" s="120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 ht="15.75" customHeight="1">
      <c r="A179" s="118"/>
      <c r="B179" s="118"/>
      <c r="C179" s="118"/>
      <c r="D179" s="118"/>
      <c r="E179" s="118"/>
      <c r="F179" s="118"/>
      <c r="G179" s="120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 ht="15.75" customHeight="1">
      <c r="A180" s="118"/>
      <c r="B180" s="118"/>
      <c r="C180" s="118"/>
      <c r="D180" s="118"/>
      <c r="E180" s="118"/>
      <c r="F180" s="118"/>
      <c r="G180" s="120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 ht="15.75" customHeight="1">
      <c r="A181" s="118"/>
      <c r="B181" s="118"/>
      <c r="C181" s="118"/>
      <c r="D181" s="118"/>
      <c r="E181" s="118"/>
      <c r="F181" s="118"/>
      <c r="G181" s="120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 ht="15.75" customHeight="1">
      <c r="A182" s="118"/>
      <c r="B182" s="118"/>
      <c r="C182" s="118"/>
      <c r="D182" s="118"/>
      <c r="E182" s="118"/>
      <c r="F182" s="118"/>
      <c r="G182" s="120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 ht="15.75" customHeight="1">
      <c r="A183" s="118"/>
      <c r="B183" s="118"/>
      <c r="C183" s="118"/>
      <c r="D183" s="118"/>
      <c r="E183" s="118"/>
      <c r="F183" s="118"/>
      <c r="G183" s="120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 ht="15.75" customHeight="1">
      <c r="A184" s="118"/>
      <c r="B184" s="118"/>
      <c r="C184" s="118"/>
      <c r="D184" s="118"/>
      <c r="E184" s="118"/>
      <c r="F184" s="118"/>
      <c r="G184" s="120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 ht="15.75" customHeight="1">
      <c r="A185" s="118"/>
      <c r="B185" s="118"/>
      <c r="C185" s="118"/>
      <c r="D185" s="118"/>
      <c r="E185" s="118"/>
      <c r="F185" s="118"/>
      <c r="G185" s="120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 ht="15.75" customHeight="1">
      <c r="A186" s="118"/>
      <c r="B186" s="118"/>
      <c r="C186" s="118"/>
      <c r="D186" s="118"/>
      <c r="E186" s="118"/>
      <c r="F186" s="118"/>
      <c r="G186" s="120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 ht="15.75" customHeight="1">
      <c r="A187" s="118"/>
      <c r="B187" s="118"/>
      <c r="C187" s="118"/>
      <c r="D187" s="118"/>
      <c r="E187" s="118"/>
      <c r="F187" s="118"/>
      <c r="G187" s="120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 ht="15.75" customHeight="1">
      <c r="A188" s="118"/>
      <c r="B188" s="118"/>
      <c r="C188" s="118"/>
      <c r="D188" s="118"/>
      <c r="E188" s="118"/>
      <c r="F188" s="118"/>
      <c r="G188" s="120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 ht="15.75" customHeight="1">
      <c r="A189" s="118"/>
      <c r="B189" s="118"/>
      <c r="C189" s="118"/>
      <c r="D189" s="118"/>
      <c r="E189" s="118"/>
      <c r="F189" s="118"/>
      <c r="G189" s="120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 ht="15.75" customHeight="1">
      <c r="A190" s="118"/>
      <c r="B190" s="118"/>
      <c r="C190" s="118"/>
      <c r="D190" s="118"/>
      <c r="E190" s="118"/>
      <c r="F190" s="118"/>
      <c r="G190" s="120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 ht="15.75" customHeight="1">
      <c r="A191" s="118"/>
      <c r="B191" s="118"/>
      <c r="C191" s="118"/>
      <c r="D191" s="118"/>
      <c r="E191" s="118"/>
      <c r="F191" s="118"/>
      <c r="G191" s="120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 ht="15.75" customHeight="1">
      <c r="A192" s="118"/>
      <c r="B192" s="118"/>
      <c r="C192" s="118"/>
      <c r="D192" s="118"/>
      <c r="E192" s="118"/>
      <c r="F192" s="118"/>
      <c r="G192" s="120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 ht="15.75" customHeight="1">
      <c r="A193" s="118"/>
      <c r="B193" s="118"/>
      <c r="C193" s="118"/>
      <c r="D193" s="118"/>
      <c r="E193" s="118"/>
      <c r="F193" s="118"/>
      <c r="G193" s="120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 ht="15.75" customHeight="1">
      <c r="A194" s="118"/>
      <c r="B194" s="118"/>
      <c r="C194" s="118"/>
      <c r="D194" s="118"/>
      <c r="E194" s="118"/>
      <c r="F194" s="118"/>
      <c r="G194" s="120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 ht="15.75" customHeight="1">
      <c r="A195" s="118"/>
      <c r="B195" s="118"/>
      <c r="C195" s="118"/>
      <c r="D195" s="118"/>
      <c r="E195" s="118"/>
      <c r="F195" s="118"/>
      <c r="G195" s="120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 ht="15.75" customHeight="1">
      <c r="A196" s="118"/>
      <c r="B196" s="118"/>
      <c r="C196" s="118"/>
      <c r="D196" s="118"/>
      <c r="E196" s="118"/>
      <c r="F196" s="118"/>
      <c r="G196" s="120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 ht="15.75" customHeight="1">
      <c r="A197" s="118"/>
      <c r="B197" s="118"/>
      <c r="C197" s="118"/>
      <c r="D197" s="118"/>
      <c r="E197" s="118"/>
      <c r="F197" s="118"/>
      <c r="G197" s="120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 ht="15.75" customHeight="1">
      <c r="A198" s="118"/>
      <c r="B198" s="118"/>
      <c r="C198" s="118"/>
      <c r="D198" s="118"/>
      <c r="E198" s="118"/>
      <c r="F198" s="118"/>
      <c r="G198" s="120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 ht="15.75" customHeight="1">
      <c r="A199" s="118"/>
      <c r="B199" s="118"/>
      <c r="C199" s="118"/>
      <c r="D199" s="118"/>
      <c r="E199" s="118"/>
      <c r="F199" s="118"/>
      <c r="G199" s="120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 ht="15.75" customHeight="1">
      <c r="A200" s="118"/>
      <c r="B200" s="118"/>
      <c r="C200" s="118"/>
      <c r="D200" s="118"/>
      <c r="E200" s="118"/>
      <c r="F200" s="118"/>
      <c r="G200" s="120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 ht="15.75" customHeight="1">
      <c r="A201" s="118"/>
      <c r="B201" s="118"/>
      <c r="C201" s="118"/>
      <c r="D201" s="118"/>
      <c r="E201" s="118"/>
      <c r="F201" s="118"/>
      <c r="G201" s="120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 ht="15.75" customHeight="1">
      <c r="A202" s="118"/>
      <c r="B202" s="118"/>
      <c r="C202" s="118"/>
      <c r="D202" s="118"/>
      <c r="E202" s="118"/>
      <c r="F202" s="118"/>
      <c r="G202" s="120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 ht="15.75" customHeight="1">
      <c r="A203" s="118"/>
      <c r="B203" s="118"/>
      <c r="C203" s="118"/>
      <c r="D203" s="118"/>
      <c r="E203" s="118"/>
      <c r="F203" s="118"/>
      <c r="G203" s="120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 ht="15.75" customHeight="1">
      <c r="A204" s="118"/>
      <c r="B204" s="118"/>
      <c r="C204" s="118"/>
      <c r="D204" s="118"/>
      <c r="E204" s="118"/>
      <c r="F204" s="118"/>
      <c r="G204" s="120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 ht="15.75" customHeight="1">
      <c r="A205" s="118"/>
      <c r="B205" s="118"/>
      <c r="C205" s="118"/>
      <c r="D205" s="118"/>
      <c r="E205" s="118"/>
      <c r="F205" s="118"/>
      <c r="G205" s="120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 ht="15.75" customHeight="1">
      <c r="A206" s="118"/>
      <c r="B206" s="118"/>
      <c r="C206" s="118"/>
      <c r="D206" s="118"/>
      <c r="E206" s="118"/>
      <c r="F206" s="118"/>
      <c r="G206" s="120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 ht="15.75" customHeight="1">
      <c r="A207" s="118"/>
      <c r="B207" s="118"/>
      <c r="C207" s="118"/>
      <c r="D207" s="118"/>
      <c r="E207" s="118"/>
      <c r="F207" s="118"/>
      <c r="G207" s="120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 ht="15.75" customHeight="1">
      <c r="A208" s="118"/>
      <c r="B208" s="118"/>
      <c r="C208" s="118"/>
      <c r="D208" s="118"/>
      <c r="E208" s="118"/>
      <c r="F208" s="118"/>
      <c r="G208" s="120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 ht="15.75" customHeight="1">
      <c r="A209" s="118"/>
      <c r="B209" s="118"/>
      <c r="C209" s="118"/>
      <c r="D209" s="118"/>
      <c r="E209" s="118"/>
      <c r="F209" s="118"/>
      <c r="G209" s="120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 ht="15.75" customHeight="1">
      <c r="A210" s="118"/>
      <c r="B210" s="118"/>
      <c r="C210" s="118"/>
      <c r="D210" s="118"/>
      <c r="E210" s="118"/>
      <c r="F210" s="118"/>
      <c r="G210" s="120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 ht="15.75" customHeight="1">
      <c r="A211" s="118"/>
      <c r="B211" s="118"/>
      <c r="C211" s="118"/>
      <c r="D211" s="118"/>
      <c r="E211" s="118"/>
      <c r="F211" s="118"/>
      <c r="G211" s="120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 ht="15.75" customHeight="1">
      <c r="A212" s="118"/>
      <c r="B212" s="118"/>
      <c r="C212" s="118"/>
      <c r="D212" s="118"/>
      <c r="E212" s="118"/>
      <c r="F212" s="118"/>
      <c r="G212" s="120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 ht="15.75" customHeight="1">
      <c r="A213" s="118"/>
      <c r="B213" s="118"/>
      <c r="C213" s="118"/>
      <c r="D213" s="118"/>
      <c r="E213" s="118"/>
      <c r="F213" s="118"/>
      <c r="G213" s="120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 ht="15.75" customHeight="1">
      <c r="A214" s="118"/>
      <c r="B214" s="118"/>
      <c r="C214" s="118"/>
      <c r="D214" s="118"/>
      <c r="E214" s="118"/>
      <c r="F214" s="118"/>
      <c r="G214" s="120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 ht="15.75" customHeight="1">
      <c r="A215" s="118"/>
      <c r="B215" s="118"/>
      <c r="C215" s="118"/>
      <c r="D215" s="118"/>
      <c r="E215" s="118"/>
      <c r="F215" s="118"/>
      <c r="G215" s="120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 ht="15.75" customHeight="1">
      <c r="A216" s="118"/>
      <c r="B216" s="118"/>
      <c r="C216" s="118"/>
      <c r="D216" s="118"/>
      <c r="E216" s="118"/>
      <c r="F216" s="118"/>
      <c r="G216" s="120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 ht="15.75" customHeight="1">
      <c r="A217" s="118"/>
      <c r="B217" s="118"/>
      <c r="C217" s="118"/>
      <c r="D217" s="118"/>
      <c r="E217" s="118"/>
      <c r="F217" s="118"/>
      <c r="G217" s="120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 ht="15.75" customHeight="1">
      <c r="A218" s="118"/>
      <c r="B218" s="118"/>
      <c r="C218" s="118"/>
      <c r="D218" s="118"/>
      <c r="E218" s="118"/>
      <c r="F218" s="118"/>
      <c r="G218" s="120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 ht="15.75" customHeight="1">
      <c r="A219" s="118"/>
      <c r="B219" s="118"/>
      <c r="C219" s="118"/>
      <c r="D219" s="118"/>
      <c r="E219" s="118"/>
      <c r="F219" s="118"/>
      <c r="G219" s="120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 ht="15.75" customHeight="1">
      <c r="A220" s="118"/>
      <c r="B220" s="118"/>
      <c r="C220" s="118"/>
      <c r="D220" s="118"/>
      <c r="E220" s="118"/>
      <c r="F220" s="118"/>
      <c r="G220" s="120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 ht="15.75" customHeight="1">
      <c r="A221" s="118"/>
      <c r="B221" s="118"/>
      <c r="C221" s="118"/>
      <c r="D221" s="118"/>
      <c r="E221" s="118"/>
      <c r="F221" s="118"/>
      <c r="G221" s="120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 ht="15.75" customHeight="1">
      <c r="A222" s="118"/>
      <c r="B222" s="118"/>
      <c r="C222" s="118"/>
      <c r="D222" s="118"/>
      <c r="E222" s="118"/>
      <c r="F222" s="118"/>
      <c r="G222" s="120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</row>
    <row r="223" ht="15.75" customHeight="1">
      <c r="A223" s="118"/>
      <c r="B223" s="118"/>
      <c r="C223" s="118"/>
      <c r="D223" s="118"/>
      <c r="E223" s="118"/>
      <c r="F223" s="118"/>
      <c r="G223" s="120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